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s999967\Documents\GitHub\forecasting_project\src\data\"/>
    </mc:Choice>
  </mc:AlternateContent>
  <xr:revisionPtr revIDLastSave="0" documentId="13_ncr:1_{EB4A20F6-204C-42DB-82CB-BAC152B0092C}" xr6:coauthVersionLast="47" xr6:coauthVersionMax="47" xr10:uidLastSave="{00000000-0000-0000-0000-000000000000}"/>
  <bookViews>
    <workbookView xWindow="3804" yWindow="3816" windowWidth="17280" windowHeight="9960" xr2:uid="{00000000-000D-0000-FFFF-FFFF00000000}"/>
  </bookViews>
  <sheets>
    <sheet name="in" sheetId="1" r:id="rId1"/>
    <sheet name="Compare" sheetId="2" r:id="rId2"/>
  </sheets>
  <definedNames>
    <definedName name="_xlnm._FilterDatabase" localSheetId="1" hidden="1">Compare!$K$1:$L$103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3" i="2" l="1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B88" i="2"/>
  <c r="B89" i="2"/>
  <c r="B90" i="2"/>
  <c r="B91" i="2"/>
  <c r="B87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2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Heinrik Choong</author>
  </authors>
  <commentList>
    <comment ref="B36" authorId="0" shapeId="0" xr:uid="{97304E82-22FD-4947-B2E1-65F950286484}">
      <text>
        <r>
          <rPr>
            <sz val="11"/>
            <color theme="1"/>
            <rFont val="Calibri"/>
            <family val="2"/>
            <charset val="1"/>
          </rPr>
          <t xml:space="preserve">Heinrik Choong:
</t>
        </r>
      </text>
    </comment>
  </commentList>
</comments>
</file>

<file path=xl/sharedStrings.xml><?xml version="1.0" encoding="utf-8"?>
<sst xmlns="http://schemas.openxmlformats.org/spreadsheetml/2006/main" count="434" uniqueCount="252">
  <si>
    <t>ApplicationLocationId</t>
  </si>
  <si>
    <t>ApplicationDisplayName</t>
  </si>
  <si>
    <t>LocationCode</t>
  </si>
  <si>
    <t>NMI</t>
  </si>
  <si>
    <t>MeterSerialNo</t>
  </si>
  <si>
    <t>Alan Gilbert L4 5 6&amp;7  - 6103029663</t>
  </si>
  <si>
    <t>PAR;104</t>
  </si>
  <si>
    <t>Alan Gilbert LG M 1 2&amp;3 - 6103029662</t>
  </si>
  <si>
    <t>Alan Gilbert - 6102332526 (E1&amp;Q1)</t>
  </si>
  <si>
    <t>Alan Gilbert - 6102332526 (E2&amp;Q2)</t>
  </si>
  <si>
    <t>Sidney Myer 1 - 6102329966 (E1&amp;Q1)</t>
  </si>
  <si>
    <t>PAR;158</t>
  </si>
  <si>
    <t>Sidney Myer 2 - 6102329966 (E2&amp;Q2)</t>
  </si>
  <si>
    <t>Sub A 15 Mechanical Engineering - VAAA000185</t>
  </si>
  <si>
    <t>Sub A</t>
  </si>
  <si>
    <t>VAAA000185</t>
  </si>
  <si>
    <t>Sub B</t>
  </si>
  <si>
    <t>VAAA000181</t>
  </si>
  <si>
    <t>NuroScience Supply 1 - 6103005867</t>
  </si>
  <si>
    <t>PAR;144</t>
  </si>
  <si>
    <t>NeuroScience Supply 2 - 6103005869</t>
  </si>
  <si>
    <t>Bio 21 Basement Sub 1A - 6102023971 (E1&amp;Q1)</t>
  </si>
  <si>
    <t>Sub Bio21</t>
  </si>
  <si>
    <t>B101  Beaurepaire Centre Sub D - VAAA001472</t>
  </si>
  <si>
    <t>PAR;101</t>
  </si>
  <si>
    <t>VAAA001472</t>
  </si>
  <si>
    <t>B107 Uni sq Car Park - 6102573328</t>
  </si>
  <si>
    <t>PAR;107</t>
  </si>
  <si>
    <t>B115  Redmond Barry Sub F1</t>
  </si>
  <si>
    <t>PAR;115</t>
  </si>
  <si>
    <t>VAAA000177</t>
  </si>
  <si>
    <t>B152  Raymond Priestley Sub H1</t>
  </si>
  <si>
    <t>PAR;152</t>
  </si>
  <si>
    <t>VAAA000450</t>
  </si>
  <si>
    <t>B177   Baillieu Library Sub J1</t>
  </si>
  <si>
    <t>PAR;177</t>
  </si>
  <si>
    <t>VAAA000182</t>
  </si>
  <si>
    <t>B263  234 Queensberry St - VAAA000057</t>
  </si>
  <si>
    <t>PAR;263</t>
  </si>
  <si>
    <t>VAAA000057</t>
  </si>
  <si>
    <t>B348 723 Swanston St - VAAA003176</t>
  </si>
  <si>
    <t>PAR;348</t>
  </si>
  <si>
    <t>VAAA003176</t>
  </si>
  <si>
    <t>B385  138 Cardigan St - VAAA001492</t>
  </si>
  <si>
    <t>PAR;385</t>
  </si>
  <si>
    <t>VAAA001492</t>
  </si>
  <si>
    <t>Bio21 Basement Sub 1B - 6102023971 (E2&amp;Q2)</t>
  </si>
  <si>
    <t>Bio21 L6 Sub 2C - 6102548873 (E1&amp;Q1)</t>
  </si>
  <si>
    <t>Bio21 L6 Sub 2D - 6102548873 (E2&amp;Q2)</t>
  </si>
  <si>
    <t>Bio21 L6 Sub 2D - 6102548873 (E3&amp;Q3)</t>
  </si>
  <si>
    <t>Sub C</t>
  </si>
  <si>
    <t>VAAA000178</t>
  </si>
  <si>
    <t>Burnley - 6102000812</t>
  </si>
  <si>
    <t>BUR</t>
  </si>
  <si>
    <t>Creswick - VCCCBC0096</t>
  </si>
  <si>
    <t>CRE</t>
  </si>
  <si>
    <t>VCCCBC0096</t>
  </si>
  <si>
    <t>Dookie Sub - VCCCSD0058</t>
  </si>
  <si>
    <t>DOO</t>
  </si>
  <si>
    <t>VCCCSD0058</t>
  </si>
  <si>
    <t>Eastern Car Park - 6102479831</t>
  </si>
  <si>
    <t>PAR;333</t>
  </si>
  <si>
    <t>Film &amp; TV - VAAA003194</t>
  </si>
  <si>
    <t>STH;861</t>
  </si>
  <si>
    <t>VAAA003194</t>
  </si>
  <si>
    <t>PDI MSB T1 - 6103022015</t>
  </si>
  <si>
    <t>PAR;248</t>
  </si>
  <si>
    <t>PDI MSB T2 - 6103022017</t>
  </si>
  <si>
    <t>PDI MSB T3 - 6103022018</t>
  </si>
  <si>
    <t>PAR;379</t>
  </si>
  <si>
    <t>VAAA000237</t>
  </si>
  <si>
    <t>PAR;266</t>
  </si>
  <si>
    <t>VAAA003100</t>
  </si>
  <si>
    <t>Werribee - VCCCAE0035</t>
  </si>
  <si>
    <t>WER</t>
  </si>
  <si>
    <t>VCCCAE0035</t>
  </si>
  <si>
    <t>Student Union Parkville</t>
  </si>
  <si>
    <t>PAR;130</t>
  </si>
  <si>
    <t>VAAA000507</t>
  </si>
  <si>
    <t>550 Swanston St Carlton</t>
  </si>
  <si>
    <t>PAR;246</t>
  </si>
  <si>
    <t>VAAA001188</t>
  </si>
  <si>
    <t>22 Lincoln Sq North Carlton  (E1)</t>
  </si>
  <si>
    <t>PAR;245</t>
  </si>
  <si>
    <t>VAAA001271</t>
  </si>
  <si>
    <t>13-21 Bedford St North Melbourne</t>
  </si>
  <si>
    <t>PAR;387</t>
  </si>
  <si>
    <t>VAAA001329</t>
  </si>
  <si>
    <t>40 Dodds St South Bank</t>
  </si>
  <si>
    <t>STH;874</t>
  </si>
  <si>
    <t>VAAA002242</t>
  </si>
  <si>
    <t>120 Dawson St Brunswick</t>
  </si>
  <si>
    <t>COM;395</t>
  </si>
  <si>
    <t>VAAA002408</t>
  </si>
  <si>
    <t>780 Elizabeth St Melboyrne Lev 1 - VAAA003225</t>
  </si>
  <si>
    <t>PAR;220</t>
  </si>
  <si>
    <t>VAAA003225</t>
  </si>
  <si>
    <t>780 Elizabeth St Melboyrne Lev 2 - VAAA003225</t>
  </si>
  <si>
    <t>780 Elizabeth St Melboyrne Lev 3 - VAAA003225</t>
  </si>
  <si>
    <t>31 Barry St Carlton</t>
  </si>
  <si>
    <t>PAR;221</t>
  </si>
  <si>
    <t>VAAA003429</t>
  </si>
  <si>
    <t xml:space="preserve">252 Sturt St  SouthBank </t>
  </si>
  <si>
    <t>STH;298</t>
  </si>
  <si>
    <t>100 Leicester St Carlton, Non-Essential Service - 6102009742</t>
  </si>
  <si>
    <t>PAR;278</t>
  </si>
  <si>
    <t>100 Leicester St Carlton, Main Supply - 6102009744</t>
  </si>
  <si>
    <t>28 Dodds St SouthBank - 6102079015</t>
  </si>
  <si>
    <t>STH;879</t>
  </si>
  <si>
    <t>233 Bouverrie St Carlton - 6102241120</t>
  </si>
  <si>
    <t>PAR;250</t>
  </si>
  <si>
    <t>158 Bouverie St Carlton - 6102284820</t>
  </si>
  <si>
    <t>PAR;384</t>
  </si>
  <si>
    <t>183 Bouverie St Carlton - 6102507141</t>
  </si>
  <si>
    <t>PAR;249</t>
  </si>
  <si>
    <t>Floor 1 - 22 Lincoln Sq North - 6102741362</t>
  </si>
  <si>
    <t>203 Bouverie St Carlton - 6103010081</t>
  </si>
  <si>
    <t>PAR;261</t>
  </si>
  <si>
    <t>66 Dawson St Brunswick - 6103011168</t>
  </si>
  <si>
    <t>COM;310</t>
  </si>
  <si>
    <t>6103015873 (E1) - 6103015873</t>
  </si>
  <si>
    <t>6103015873 (E2) - 6103015873</t>
  </si>
  <si>
    <t>Sport Pavilion - 6103031269</t>
  </si>
  <si>
    <t>PAR;498</t>
  </si>
  <si>
    <t>33 Sturt St SouthBank - 6103055142</t>
  </si>
  <si>
    <t>STH;880</t>
  </si>
  <si>
    <t>(Cnr) Dodds St Southbank - Stables - 6103055392</t>
  </si>
  <si>
    <t>STH;873</t>
  </si>
  <si>
    <t>303 Royal Pde Parkville - 6103055643</t>
  </si>
  <si>
    <t>RES;476</t>
  </si>
  <si>
    <t>Doug Mac MSB - 610305662001 - 6103056620</t>
  </si>
  <si>
    <t>PAR;168</t>
  </si>
  <si>
    <t>Doug Mac Roof Chiller - 610305662101 - 6103056621</t>
  </si>
  <si>
    <t>757 MSSB - 610305662201 - 6103056622</t>
  </si>
  <si>
    <t>PAR;199</t>
  </si>
  <si>
    <t>250 Princess HWY Werribee - Teaching&amp;Learning - 6203949247</t>
  </si>
  <si>
    <t>WER;418</t>
  </si>
  <si>
    <t>Sub N1 Thomas Cherry - VAAA000173</t>
  </si>
  <si>
    <t>PAR;201</t>
  </si>
  <si>
    <t>VAAA000173</t>
  </si>
  <si>
    <t>Sub N2 Earth Sciences - VAAA000173</t>
  </si>
  <si>
    <t>PAR;200</t>
  </si>
  <si>
    <t>VAAA000379</t>
  </si>
  <si>
    <t>Chemistry Supply 1 - 6103002422 (E1&amp;Q1)</t>
  </si>
  <si>
    <t>Sub Chemistry</t>
  </si>
  <si>
    <t>Chemistry Supply 2 - 6103002422 (E2&amp;Q2)</t>
  </si>
  <si>
    <t>Sub EEE Meter - 6102038376</t>
  </si>
  <si>
    <t>Sub EEE</t>
  </si>
  <si>
    <t>Sub F2 Red B Others - VAAA000177</t>
  </si>
  <si>
    <t xml:space="preserve">Sub F </t>
  </si>
  <si>
    <t>Sub G</t>
  </si>
  <si>
    <t>VAAA000184</t>
  </si>
  <si>
    <t>Med Cent Supply  2 - 6103004482 (E2&amp;Q2)</t>
  </si>
  <si>
    <t>Med Cent Supply 1 - 6103004482 (E1&amp;Q1)</t>
  </si>
  <si>
    <t>Sub J3 (Babel Music) - VAAA000182</t>
  </si>
  <si>
    <t>Sub J</t>
  </si>
  <si>
    <t>Sub J2 (147 148 194) - VAAA000182</t>
  </si>
  <si>
    <t>Melbourne University Sub K1 John Medley - VAAA000180</t>
  </si>
  <si>
    <t>Sub K</t>
  </si>
  <si>
    <t>VAAA000180</t>
  </si>
  <si>
    <t>Melbourne University Sub K2 John Medley - VAAA000180</t>
  </si>
  <si>
    <t>Sub L</t>
  </si>
  <si>
    <t>VAAA000175</t>
  </si>
  <si>
    <t>134B SouthBank Bvd - 6102046251</t>
  </si>
  <si>
    <t>STH;887</t>
  </si>
  <si>
    <t>134A SouthBank Bvd MTC - 6102047562</t>
  </si>
  <si>
    <t>Performing Art &amp; Dance - VAAA003197</t>
  </si>
  <si>
    <t>Sub VCA</t>
  </si>
  <si>
    <t>VAAA003197</t>
  </si>
  <si>
    <t>BioScience of University of Melbourne - 6103054611</t>
  </si>
  <si>
    <t>Sub WEBS</t>
  </si>
  <si>
    <t>Sub AG - Law Building Total Billed Consumption</t>
  </si>
  <si>
    <t>PAR;106</t>
  </si>
  <si>
    <t>7681036;7716464;7718545</t>
  </si>
  <si>
    <t>VAAA000577</t>
  </si>
  <si>
    <t>133 - MSD Glyn Davis (H2)</t>
  </si>
  <si>
    <t>PAR;133</t>
  </si>
  <si>
    <t>217 Little Hall (MSB1)</t>
  </si>
  <si>
    <t>PAR;217</t>
  </si>
  <si>
    <t>217 Little Hall (MSB2)</t>
  </si>
  <si>
    <t>290 - Melb Connect Tenancy Services MSB2</t>
  </si>
  <si>
    <t>PAR;290</t>
  </si>
  <si>
    <t>290 - Melb Connect Tenancy Services</t>
  </si>
  <si>
    <t>290 - Melb Connect Residences MSB 1</t>
  </si>
  <si>
    <t>162 - Student Pavilion</t>
  </si>
  <si>
    <t>PAR;162</t>
  </si>
  <si>
    <t>470 - International House Total Billed Consumption</t>
  </si>
  <si>
    <t>RES;470</t>
  </si>
  <si>
    <t>200 Berkeley St - Total Billed Consumption</t>
  </si>
  <si>
    <t>PAR;260</t>
  </si>
  <si>
    <t>VAAA001356</t>
  </si>
  <si>
    <t>110 - The Spot (Supply 2)</t>
  </si>
  <si>
    <t>PAR:110</t>
  </si>
  <si>
    <t>110 - The Spot (Supply 1)</t>
  </si>
  <si>
    <t>696 - Shepparton Medical Centre - Total Billed Con</t>
  </si>
  <si>
    <t>SPT;696</t>
  </si>
  <si>
    <t>VCCCSC0045</t>
  </si>
  <si>
    <t>245 - Lincoln Square North (E2)</t>
  </si>
  <si>
    <t>105 - FBE Building (E1&amp;Q1)</t>
  </si>
  <si>
    <t>PAR;105</t>
  </si>
  <si>
    <t>105 - FBE Building (E2&amp;Q2)</t>
  </si>
  <si>
    <t>PAR;159</t>
  </si>
  <si>
    <t>171 - Eastern Resource Centre (ERC Library)</t>
  </si>
  <si>
    <t>PAR;171</t>
  </si>
  <si>
    <t>B198  1888 Bldg of  Doug McDonell precinct</t>
  </si>
  <si>
    <t>PAR;198</t>
  </si>
  <si>
    <t>NMI2</t>
  </si>
  <si>
    <t>VAAA001259</t>
  </si>
  <si>
    <t>266 - 11 Barry St - Building Total Billed Consump</t>
  </si>
  <si>
    <t xml:space="preserve">8070661;8056439 </t>
  </si>
  <si>
    <t>Sub L - Physics Total Billed Consumption</t>
  </si>
  <si>
    <t>7692414;7692417</t>
  </si>
  <si>
    <t>7722160;7722154</t>
  </si>
  <si>
    <t>Sub C - Total Billed Consumption</t>
  </si>
  <si>
    <t>7714110;7717943</t>
  </si>
  <si>
    <t>Sub B - Old Buildings Total Billed Consumption</t>
  </si>
  <si>
    <t>7722030;7722034</t>
  </si>
  <si>
    <t>379 - 207-221 Bouverie St Total Billed Consumption</t>
  </si>
  <si>
    <t>PAR</t>
  </si>
  <si>
    <t>381 - 333 Exhibition St Total Billed Consumption</t>
  </si>
  <si>
    <t>21301473;21301619;21301685;21301462;21301559;7715230</t>
  </si>
  <si>
    <t>Sub G - G1</t>
  </si>
  <si>
    <t>Sub G - G2</t>
  </si>
  <si>
    <t>159 - Arts &amp; Cultural Building (INV)</t>
  </si>
  <si>
    <t>B189 - (Prev. Frank Tate)</t>
  </si>
  <si>
    <t>PAR;189</t>
  </si>
  <si>
    <t>Trinity College</t>
  </si>
  <si>
    <t>Security Office</t>
  </si>
  <si>
    <t>VAAA000936</t>
  </si>
  <si>
    <t>VAAA004066</t>
  </si>
  <si>
    <t>734 -750 Elizabeth St (AIID 2nd Temporary Power Supply)</t>
  </si>
  <si>
    <t>527 - Hugh Pye Building (Dookie College Crescent - E Pillar)</t>
  </si>
  <si>
    <t>PAR;734</t>
  </si>
  <si>
    <t>PAR;527</t>
  </si>
  <si>
    <t>464 - Wilam Hall 46 DRUMMOND ST Carlton, VIC 3053 AU</t>
  </si>
  <si>
    <t>PAR;464</t>
  </si>
  <si>
    <t>565 - Dookie Robotic Dairy</t>
  </si>
  <si>
    <t>PAR;281</t>
  </si>
  <si>
    <t>PAR;381</t>
  </si>
  <si>
    <t>DOO;565</t>
  </si>
  <si>
    <t>Dookie College Crescent - Substation College South (incl. water treatment plant)</t>
  </si>
  <si>
    <t>207 - 202-206 Berkeley St</t>
  </si>
  <si>
    <t>PAR:207</t>
  </si>
  <si>
    <t>281 - 204 Lygon St (Levels 4 &amp; 5)</t>
  </si>
  <si>
    <t>204 - MCM Practice Rooms Level 1</t>
  </si>
  <si>
    <t>PAR;204</t>
  </si>
  <si>
    <t>278 - 100 Leicester St (MGSE)</t>
  </si>
  <si>
    <t>337 - 131-137 Barry Street (FBE)</t>
  </si>
  <si>
    <t>PAR;337</t>
  </si>
  <si>
    <t>Floor 1, 33 Lincoln Square</t>
  </si>
  <si>
    <t>Floor 2, 33 Lincoln Square</t>
  </si>
  <si>
    <t>Floor 3, 33 Lincoln 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</si>
</sst>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sz val="8"/>
      <name val="Calibri"/>
      <family val="2"/>
      <charset val="1"/>
      <scheme val="minor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rgb="FFD9E1F2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" fillId="0" borderId="0"/>
  </cellStyleXfs>
  <cellXfs count="7">
    <xf numFmtId="0" fontId="0" fillId="0" borderId="0" xfId="0"/>
    <xf numFmtId="0" fontId="0" fillId="33" borderId="0" xfId="0" applyFill="1"/>
    <xf numFmtId="0" fontId="19" fillId="0" borderId="0" xfId="0" applyFont="1"/>
    <xf numFmtId="0" fontId="22" fillId="34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0" borderId="0" xfId="0" applyNumberFormat="1"/>
    <xf numFmtId="0" fontId="0" fillId="0" borderId="0" xfId="0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E27CCBC9-2704-4F99-AFCC-05B6BB60277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2"/>
  <sheetViews>
    <sheetView tabSelected="1" topLeftCell="A118" workbookViewId="0">
      <selection activeCell="A125" sqref="A125"/>
    </sheetView>
  </sheetViews>
  <sheetFormatPr defaultColWidth="8.77734375" defaultRowHeight="14.4" x14ac:dyDescent="0.3"/>
  <cols>
    <col min="1" max="1" width="20.44140625" bestFit="1" customWidth="1"/>
    <col min="2" max="2" width="57.77734375" bestFit="1" customWidth="1"/>
    <col min="3" max="3" width="13.77734375" bestFit="1" customWidth="1"/>
    <col min="4" max="4" width="12.44140625" bestFit="1" customWidth="1"/>
    <col min="5" max="5" width="25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24859</v>
      </c>
      <c r="B2" t="s">
        <v>5</v>
      </c>
      <c r="C2" t="s">
        <v>6</v>
      </c>
      <c r="D2">
        <v>6103029663</v>
      </c>
      <c r="E2">
        <v>216155272</v>
      </c>
    </row>
    <row r="3" spans="1:5" x14ac:dyDescent="0.3">
      <c r="A3">
        <v>24860</v>
      </c>
      <c r="B3" t="s">
        <v>7</v>
      </c>
      <c r="C3" t="s">
        <v>6</v>
      </c>
      <c r="D3">
        <v>6103029662</v>
      </c>
      <c r="E3">
        <v>216155264</v>
      </c>
    </row>
    <row r="4" spans="1:5" x14ac:dyDescent="0.3">
      <c r="A4">
        <v>12378</v>
      </c>
      <c r="B4" t="s">
        <v>8</v>
      </c>
      <c r="C4" t="s">
        <v>6</v>
      </c>
      <c r="D4">
        <v>6102332526</v>
      </c>
      <c r="E4">
        <v>216155261</v>
      </c>
    </row>
    <row r="5" spans="1:5" x14ac:dyDescent="0.3">
      <c r="A5">
        <v>12379</v>
      </c>
      <c r="B5" t="s">
        <v>9</v>
      </c>
      <c r="C5" t="s">
        <v>6</v>
      </c>
      <c r="D5">
        <v>6102332526</v>
      </c>
      <c r="E5">
        <v>216155263</v>
      </c>
    </row>
    <row r="6" spans="1:5" x14ac:dyDescent="0.3">
      <c r="A6">
        <v>12376</v>
      </c>
      <c r="B6" t="s">
        <v>10</v>
      </c>
      <c r="C6" t="s">
        <v>11</v>
      </c>
      <c r="D6">
        <v>6102329966</v>
      </c>
      <c r="E6">
        <v>219283564</v>
      </c>
    </row>
    <row r="7" spans="1:5" x14ac:dyDescent="0.3">
      <c r="A7">
        <v>12377</v>
      </c>
      <c r="B7" t="s">
        <v>12</v>
      </c>
      <c r="C7" t="s">
        <v>11</v>
      </c>
      <c r="D7">
        <v>6102329966</v>
      </c>
      <c r="E7">
        <v>219829967</v>
      </c>
    </row>
    <row r="8" spans="1:5" x14ac:dyDescent="0.3">
      <c r="A8">
        <v>3971</v>
      </c>
      <c r="B8" t="s">
        <v>13</v>
      </c>
      <c r="C8" t="s">
        <v>14</v>
      </c>
      <c r="D8" t="s">
        <v>15</v>
      </c>
      <c r="E8">
        <v>7723420</v>
      </c>
    </row>
    <row r="9" spans="1:5" x14ac:dyDescent="0.3">
      <c r="A9">
        <v>48659</v>
      </c>
      <c r="B9" t="s">
        <v>215</v>
      </c>
      <c r="C9" t="s">
        <v>16</v>
      </c>
      <c r="D9" t="s">
        <v>17</v>
      </c>
      <c r="E9" t="s">
        <v>214</v>
      </c>
    </row>
    <row r="10" spans="1:5" x14ac:dyDescent="0.3">
      <c r="A10">
        <v>16732</v>
      </c>
      <c r="B10" t="s">
        <v>18</v>
      </c>
      <c r="C10" t="s">
        <v>19</v>
      </c>
      <c r="D10">
        <v>6103005867</v>
      </c>
      <c r="E10">
        <v>216155277</v>
      </c>
    </row>
    <row r="11" spans="1:5" x14ac:dyDescent="0.3">
      <c r="A11">
        <v>16733</v>
      </c>
      <c r="B11" t="s">
        <v>20</v>
      </c>
      <c r="C11" t="s">
        <v>19</v>
      </c>
      <c r="D11">
        <v>6103005869</v>
      </c>
      <c r="E11">
        <v>216155279</v>
      </c>
    </row>
    <row r="12" spans="1:5" x14ac:dyDescent="0.3">
      <c r="A12">
        <v>12371</v>
      </c>
      <c r="B12" t="s">
        <v>21</v>
      </c>
      <c r="C12" t="s">
        <v>22</v>
      </c>
      <c r="D12">
        <v>6102023971</v>
      </c>
      <c r="E12">
        <v>216155265</v>
      </c>
    </row>
    <row r="13" spans="1:5" x14ac:dyDescent="0.3">
      <c r="A13">
        <v>12402</v>
      </c>
      <c r="B13" t="s">
        <v>23</v>
      </c>
      <c r="C13" t="s">
        <v>24</v>
      </c>
      <c r="D13" t="s">
        <v>25</v>
      </c>
      <c r="E13">
        <v>7721907</v>
      </c>
    </row>
    <row r="14" spans="1:5" x14ac:dyDescent="0.3">
      <c r="A14">
        <v>12384</v>
      </c>
      <c r="B14" t="s">
        <v>26</v>
      </c>
      <c r="C14" t="s">
        <v>27</v>
      </c>
      <c r="D14">
        <v>6102573328</v>
      </c>
      <c r="E14">
        <v>7674814</v>
      </c>
    </row>
    <row r="15" spans="1:5" x14ac:dyDescent="0.3">
      <c r="A15">
        <v>3977</v>
      </c>
      <c r="B15" t="s">
        <v>28</v>
      </c>
      <c r="C15" t="s">
        <v>29</v>
      </c>
      <c r="D15" t="s">
        <v>30</v>
      </c>
      <c r="E15">
        <v>7718997</v>
      </c>
    </row>
    <row r="16" spans="1:5" x14ac:dyDescent="0.3">
      <c r="A16">
        <v>3981</v>
      </c>
      <c r="B16" t="s">
        <v>31</v>
      </c>
      <c r="C16" t="s">
        <v>32</v>
      </c>
      <c r="D16" t="s">
        <v>33</v>
      </c>
      <c r="E16">
        <v>7681432</v>
      </c>
    </row>
    <row r="17" spans="1:5" x14ac:dyDescent="0.3">
      <c r="A17">
        <v>3985</v>
      </c>
      <c r="B17" t="s">
        <v>34</v>
      </c>
      <c r="C17" t="s">
        <v>35</v>
      </c>
      <c r="D17" t="s">
        <v>36</v>
      </c>
      <c r="E17">
        <v>7674252</v>
      </c>
    </row>
    <row r="18" spans="1:5" x14ac:dyDescent="0.3">
      <c r="A18">
        <v>12398</v>
      </c>
      <c r="B18" t="s">
        <v>37</v>
      </c>
      <c r="C18" t="s">
        <v>38</v>
      </c>
      <c r="D18" t="s">
        <v>39</v>
      </c>
      <c r="E18">
        <v>7651301</v>
      </c>
    </row>
    <row r="19" spans="1:5" x14ac:dyDescent="0.3">
      <c r="A19">
        <v>12406</v>
      </c>
      <c r="B19" t="s">
        <v>40</v>
      </c>
      <c r="C19" t="s">
        <v>41</v>
      </c>
      <c r="D19" t="s">
        <v>42</v>
      </c>
      <c r="E19">
        <v>7674268</v>
      </c>
    </row>
    <row r="20" spans="1:5" x14ac:dyDescent="0.3">
      <c r="A20">
        <v>12403</v>
      </c>
      <c r="B20" t="s">
        <v>43</v>
      </c>
      <c r="C20" t="s">
        <v>44</v>
      </c>
      <c r="D20" t="s">
        <v>45</v>
      </c>
      <c r="E20">
        <v>7661492</v>
      </c>
    </row>
    <row r="21" spans="1:5" x14ac:dyDescent="0.3">
      <c r="A21">
        <v>12372</v>
      </c>
      <c r="B21" t="s">
        <v>46</v>
      </c>
      <c r="C21" t="s">
        <v>22</v>
      </c>
      <c r="D21">
        <v>6102023971</v>
      </c>
      <c r="E21">
        <v>216155266</v>
      </c>
    </row>
    <row r="22" spans="1:5" x14ac:dyDescent="0.3">
      <c r="A22">
        <v>12381</v>
      </c>
      <c r="B22" t="s">
        <v>47</v>
      </c>
      <c r="C22" t="s">
        <v>22</v>
      </c>
      <c r="D22">
        <v>6102548873</v>
      </c>
      <c r="E22">
        <v>216155258</v>
      </c>
    </row>
    <row r="23" spans="1:5" x14ac:dyDescent="0.3">
      <c r="A23">
        <v>12383</v>
      </c>
      <c r="B23" t="s">
        <v>48</v>
      </c>
      <c r="C23" t="s">
        <v>22</v>
      </c>
      <c r="D23">
        <v>6102548873</v>
      </c>
      <c r="E23">
        <v>216155259</v>
      </c>
    </row>
    <row r="24" spans="1:5" x14ac:dyDescent="0.3">
      <c r="A24">
        <v>12382</v>
      </c>
      <c r="B24" t="s">
        <v>49</v>
      </c>
      <c r="C24" t="s">
        <v>22</v>
      </c>
      <c r="D24">
        <v>6102548873</v>
      </c>
      <c r="E24">
        <v>216155260</v>
      </c>
    </row>
    <row r="25" spans="1:5" x14ac:dyDescent="0.3">
      <c r="A25">
        <v>48662</v>
      </c>
      <c r="B25" t="s">
        <v>213</v>
      </c>
      <c r="C25" t="s">
        <v>50</v>
      </c>
      <c r="D25" t="s">
        <v>51</v>
      </c>
      <c r="E25" t="s">
        <v>212</v>
      </c>
    </row>
    <row r="26" spans="1:5" x14ac:dyDescent="0.3">
      <c r="A26">
        <v>12368</v>
      </c>
      <c r="B26" t="s">
        <v>52</v>
      </c>
      <c r="C26" t="s">
        <v>53</v>
      </c>
      <c r="D26">
        <v>6102000812</v>
      </c>
      <c r="E26">
        <v>7677445</v>
      </c>
    </row>
    <row r="27" spans="1:5" x14ac:dyDescent="0.3">
      <c r="A27">
        <v>12410</v>
      </c>
      <c r="B27" t="s">
        <v>54</v>
      </c>
      <c r="C27" t="s">
        <v>55</v>
      </c>
      <c r="D27" t="s">
        <v>56</v>
      </c>
      <c r="E27">
        <v>7719149</v>
      </c>
    </row>
    <row r="28" spans="1:5" x14ac:dyDescent="0.3">
      <c r="A28">
        <v>12411</v>
      </c>
      <c r="B28" t="s">
        <v>57</v>
      </c>
      <c r="C28" t="s">
        <v>58</v>
      </c>
      <c r="D28" t="s">
        <v>59</v>
      </c>
      <c r="E28">
        <v>7666935</v>
      </c>
    </row>
    <row r="29" spans="1:5" x14ac:dyDescent="0.3">
      <c r="A29">
        <v>12380</v>
      </c>
      <c r="B29" t="s">
        <v>60</v>
      </c>
      <c r="C29" t="s">
        <v>61</v>
      </c>
      <c r="D29">
        <v>6102479831</v>
      </c>
      <c r="E29">
        <v>7636902</v>
      </c>
    </row>
    <row r="30" spans="1:5" x14ac:dyDescent="0.3">
      <c r="A30">
        <v>12407</v>
      </c>
      <c r="B30" t="s">
        <v>62</v>
      </c>
      <c r="C30" t="s">
        <v>63</v>
      </c>
      <c r="D30" t="s">
        <v>64</v>
      </c>
      <c r="E30">
        <v>7720649</v>
      </c>
    </row>
    <row r="31" spans="1:5" x14ac:dyDescent="0.3">
      <c r="A31">
        <v>24861</v>
      </c>
      <c r="B31" t="s">
        <v>65</v>
      </c>
      <c r="C31" t="s">
        <v>66</v>
      </c>
      <c r="D31">
        <v>6103022015</v>
      </c>
      <c r="E31">
        <v>216155009</v>
      </c>
    </row>
    <row r="32" spans="1:5" x14ac:dyDescent="0.3">
      <c r="A32">
        <v>24862</v>
      </c>
      <c r="B32" t="s">
        <v>67</v>
      </c>
      <c r="C32" t="s">
        <v>66</v>
      </c>
      <c r="D32">
        <v>6103022017</v>
      </c>
      <c r="E32">
        <v>216155296</v>
      </c>
    </row>
    <row r="33" spans="1:5" x14ac:dyDescent="0.3">
      <c r="A33">
        <v>24863</v>
      </c>
      <c r="B33" t="s">
        <v>68</v>
      </c>
      <c r="C33" t="s">
        <v>66</v>
      </c>
      <c r="D33">
        <v>6103022018</v>
      </c>
      <c r="E33">
        <v>216155086</v>
      </c>
    </row>
    <row r="34" spans="1:5" x14ac:dyDescent="0.3">
      <c r="A34">
        <v>48722</v>
      </c>
      <c r="B34" t="s">
        <v>217</v>
      </c>
      <c r="C34" t="s">
        <v>69</v>
      </c>
      <c r="D34" t="s">
        <v>70</v>
      </c>
      <c r="E34" t="s">
        <v>216</v>
      </c>
    </row>
    <row r="35" spans="1:5" x14ac:dyDescent="0.3">
      <c r="A35">
        <v>48759</v>
      </c>
      <c r="B35" t="s">
        <v>208</v>
      </c>
      <c r="C35" t="s">
        <v>71</v>
      </c>
      <c r="D35" t="s">
        <v>72</v>
      </c>
      <c r="E35" t="s">
        <v>209</v>
      </c>
    </row>
    <row r="36" spans="1:5" x14ac:dyDescent="0.3">
      <c r="A36">
        <v>12409</v>
      </c>
      <c r="B36" t="s">
        <v>73</v>
      </c>
      <c r="C36" t="s">
        <v>74</v>
      </c>
      <c r="D36" t="s">
        <v>75</v>
      </c>
      <c r="E36">
        <v>7667819</v>
      </c>
    </row>
    <row r="37" spans="1:5" x14ac:dyDescent="0.3">
      <c r="A37">
        <v>45292</v>
      </c>
      <c r="B37" t="s">
        <v>76</v>
      </c>
      <c r="C37" t="s">
        <v>77</v>
      </c>
      <c r="D37" t="s">
        <v>78</v>
      </c>
      <c r="E37">
        <v>8103516</v>
      </c>
    </row>
    <row r="38" spans="1:5" x14ac:dyDescent="0.3">
      <c r="A38">
        <v>45293</v>
      </c>
      <c r="B38" t="s">
        <v>79</v>
      </c>
      <c r="C38" t="s">
        <v>80</v>
      </c>
      <c r="D38" t="s">
        <v>81</v>
      </c>
      <c r="E38">
        <v>7634071</v>
      </c>
    </row>
    <row r="39" spans="1:5" x14ac:dyDescent="0.3">
      <c r="A39">
        <v>45301</v>
      </c>
      <c r="B39" t="s">
        <v>82</v>
      </c>
      <c r="C39" t="s">
        <v>83</v>
      </c>
      <c r="D39" t="s">
        <v>84</v>
      </c>
      <c r="E39">
        <v>7680332</v>
      </c>
    </row>
    <row r="40" spans="1:5" x14ac:dyDescent="0.3">
      <c r="A40">
        <v>45377</v>
      </c>
      <c r="B40" t="s">
        <v>85</v>
      </c>
      <c r="C40" t="s">
        <v>86</v>
      </c>
      <c r="D40" t="s">
        <v>87</v>
      </c>
      <c r="E40">
        <v>215554624</v>
      </c>
    </row>
    <row r="41" spans="1:5" x14ac:dyDescent="0.3">
      <c r="A41">
        <v>45302</v>
      </c>
      <c r="B41" t="s">
        <v>88</v>
      </c>
      <c r="C41" t="s">
        <v>89</v>
      </c>
      <c r="D41" t="s">
        <v>90</v>
      </c>
      <c r="E41">
        <v>8055319</v>
      </c>
    </row>
    <row r="42" spans="1:5" x14ac:dyDescent="0.3">
      <c r="A42">
        <v>45304</v>
      </c>
      <c r="B42" t="s">
        <v>91</v>
      </c>
      <c r="C42" t="s">
        <v>92</v>
      </c>
      <c r="D42" t="s">
        <v>93</v>
      </c>
      <c r="E42">
        <v>8043807</v>
      </c>
    </row>
    <row r="43" spans="1:5" x14ac:dyDescent="0.3">
      <c r="A43">
        <v>45305</v>
      </c>
      <c r="B43" t="s">
        <v>94</v>
      </c>
      <c r="C43" t="s">
        <v>95</v>
      </c>
      <c r="D43" t="s">
        <v>96</v>
      </c>
      <c r="E43">
        <v>7585348</v>
      </c>
    </row>
    <row r="44" spans="1:5" x14ac:dyDescent="0.3">
      <c r="A44">
        <v>45306</v>
      </c>
      <c r="B44" t="s">
        <v>97</v>
      </c>
      <c r="C44" t="s">
        <v>95</v>
      </c>
      <c r="D44" t="s">
        <v>96</v>
      </c>
      <c r="E44">
        <v>7585446</v>
      </c>
    </row>
    <row r="45" spans="1:5" x14ac:dyDescent="0.3">
      <c r="A45">
        <v>45307</v>
      </c>
      <c r="B45" t="s">
        <v>98</v>
      </c>
      <c r="C45" t="s">
        <v>95</v>
      </c>
      <c r="D45" t="s">
        <v>96</v>
      </c>
      <c r="E45">
        <v>7715128</v>
      </c>
    </row>
    <row r="46" spans="1:5" x14ac:dyDescent="0.3">
      <c r="A46">
        <v>45308</v>
      </c>
      <c r="B46" t="s">
        <v>99</v>
      </c>
      <c r="C46" t="s">
        <v>100</v>
      </c>
      <c r="D46" t="s">
        <v>101</v>
      </c>
      <c r="E46">
        <v>7677631</v>
      </c>
    </row>
    <row r="47" spans="1:5" x14ac:dyDescent="0.3">
      <c r="A47">
        <v>45278</v>
      </c>
      <c r="B47" t="s">
        <v>102</v>
      </c>
      <c r="C47" t="s">
        <v>103</v>
      </c>
      <c r="D47">
        <v>6102002302</v>
      </c>
      <c r="E47">
        <v>8183533</v>
      </c>
    </row>
    <row r="48" spans="1:5" x14ac:dyDescent="0.3">
      <c r="A48">
        <v>19193</v>
      </c>
      <c r="B48" t="s">
        <v>104</v>
      </c>
      <c r="C48" t="s">
        <v>105</v>
      </c>
      <c r="D48">
        <v>6102009742</v>
      </c>
      <c r="E48">
        <v>7635320</v>
      </c>
    </row>
    <row r="49" spans="1:5" x14ac:dyDescent="0.3">
      <c r="A49">
        <v>19364</v>
      </c>
      <c r="B49" t="s">
        <v>106</v>
      </c>
      <c r="C49" t="s">
        <v>105</v>
      </c>
      <c r="D49">
        <v>6102009744</v>
      </c>
      <c r="E49">
        <v>7654137</v>
      </c>
    </row>
    <row r="50" spans="1:5" x14ac:dyDescent="0.3">
      <c r="A50">
        <v>45281</v>
      </c>
      <c r="B50" t="s">
        <v>107</v>
      </c>
      <c r="C50" t="s">
        <v>108</v>
      </c>
      <c r="D50">
        <v>6102079015</v>
      </c>
      <c r="E50">
        <v>8091988</v>
      </c>
    </row>
    <row r="51" spans="1:5" x14ac:dyDescent="0.3">
      <c r="A51">
        <v>45282</v>
      </c>
      <c r="B51" t="s">
        <v>109</v>
      </c>
      <c r="C51" t="s">
        <v>110</v>
      </c>
      <c r="D51">
        <v>6102241120</v>
      </c>
      <c r="E51">
        <v>7634088</v>
      </c>
    </row>
    <row r="52" spans="1:5" x14ac:dyDescent="0.3">
      <c r="A52">
        <v>45283</v>
      </c>
      <c r="B52" t="s">
        <v>111</v>
      </c>
      <c r="C52" t="s">
        <v>112</v>
      </c>
      <c r="D52">
        <v>6102284820</v>
      </c>
      <c r="E52">
        <v>7575314</v>
      </c>
    </row>
    <row r="53" spans="1:5" x14ac:dyDescent="0.3">
      <c r="A53">
        <v>45284</v>
      </c>
      <c r="B53" t="s">
        <v>113</v>
      </c>
      <c r="C53" t="s">
        <v>114</v>
      </c>
      <c r="D53">
        <v>6102507141</v>
      </c>
      <c r="E53">
        <v>7721738</v>
      </c>
    </row>
    <row r="54" spans="1:5" x14ac:dyDescent="0.3">
      <c r="A54">
        <v>45285</v>
      </c>
      <c r="B54" t="s">
        <v>115</v>
      </c>
      <c r="C54" t="s">
        <v>83</v>
      </c>
      <c r="D54">
        <v>6102741362</v>
      </c>
      <c r="E54">
        <v>7715145</v>
      </c>
    </row>
    <row r="55" spans="1:5" x14ac:dyDescent="0.3">
      <c r="A55">
        <v>45286</v>
      </c>
      <c r="B55" t="s">
        <v>116</v>
      </c>
      <c r="C55" t="s">
        <v>117</v>
      </c>
      <c r="D55">
        <v>6103010081</v>
      </c>
      <c r="E55">
        <v>7662601</v>
      </c>
    </row>
    <row r="56" spans="1:5" x14ac:dyDescent="0.3">
      <c r="A56">
        <v>45287</v>
      </c>
      <c r="B56" t="s">
        <v>118</v>
      </c>
      <c r="C56" t="s">
        <v>119</v>
      </c>
      <c r="D56">
        <v>6103011168</v>
      </c>
      <c r="E56">
        <v>7661002</v>
      </c>
    </row>
    <row r="57" spans="1:5" x14ac:dyDescent="0.3">
      <c r="A57">
        <v>20230</v>
      </c>
      <c r="B57" t="s">
        <v>120</v>
      </c>
      <c r="C57" t="s">
        <v>71</v>
      </c>
      <c r="D57">
        <v>6103015873</v>
      </c>
      <c r="E57">
        <v>7668803</v>
      </c>
    </row>
    <row r="58" spans="1:5" x14ac:dyDescent="0.3">
      <c r="A58">
        <v>20231</v>
      </c>
      <c r="B58" t="s">
        <v>121</v>
      </c>
      <c r="C58" t="s">
        <v>71</v>
      </c>
      <c r="D58">
        <v>6103015873</v>
      </c>
      <c r="E58">
        <v>7674291</v>
      </c>
    </row>
    <row r="59" spans="1:5" x14ac:dyDescent="0.3">
      <c r="A59">
        <v>45374</v>
      </c>
      <c r="B59" t="s">
        <v>122</v>
      </c>
      <c r="C59" t="s">
        <v>123</v>
      </c>
      <c r="D59">
        <v>6103031269</v>
      </c>
      <c r="E59">
        <v>7681228</v>
      </c>
    </row>
    <row r="60" spans="1:5" x14ac:dyDescent="0.3">
      <c r="A60">
        <v>45289</v>
      </c>
      <c r="B60" t="s">
        <v>124</v>
      </c>
      <c r="C60" t="s">
        <v>125</v>
      </c>
      <c r="D60">
        <v>6103055142</v>
      </c>
      <c r="E60">
        <v>7723612</v>
      </c>
    </row>
    <row r="61" spans="1:5" x14ac:dyDescent="0.3">
      <c r="A61">
        <v>45375</v>
      </c>
      <c r="B61" t="s">
        <v>126</v>
      </c>
      <c r="C61" t="s">
        <v>127</v>
      </c>
      <c r="D61">
        <v>6103055392</v>
      </c>
      <c r="E61">
        <v>7723046</v>
      </c>
    </row>
    <row r="62" spans="1:5" x14ac:dyDescent="0.3">
      <c r="A62">
        <v>45376</v>
      </c>
      <c r="B62" t="s">
        <v>128</v>
      </c>
      <c r="C62" t="s">
        <v>129</v>
      </c>
      <c r="D62">
        <v>6103055643</v>
      </c>
      <c r="E62">
        <v>7678269</v>
      </c>
    </row>
    <row r="63" spans="1:5" x14ac:dyDescent="0.3">
      <c r="A63">
        <v>44805</v>
      </c>
      <c r="B63" t="s">
        <v>130</v>
      </c>
      <c r="C63" t="s">
        <v>131</v>
      </c>
      <c r="D63">
        <v>6103056620</v>
      </c>
      <c r="E63">
        <v>7668911</v>
      </c>
    </row>
    <row r="64" spans="1:5" x14ac:dyDescent="0.3">
      <c r="A64">
        <v>44804</v>
      </c>
      <c r="B64" t="s">
        <v>132</v>
      </c>
      <c r="C64" t="s">
        <v>131</v>
      </c>
      <c r="D64">
        <v>6103056621</v>
      </c>
      <c r="E64">
        <v>7711797</v>
      </c>
    </row>
    <row r="65" spans="1:5" x14ac:dyDescent="0.3">
      <c r="A65">
        <v>44809</v>
      </c>
      <c r="B65" t="s">
        <v>133</v>
      </c>
      <c r="C65" t="s">
        <v>134</v>
      </c>
      <c r="D65">
        <v>6103056622</v>
      </c>
      <c r="E65">
        <v>7669216</v>
      </c>
    </row>
    <row r="66" spans="1:5" x14ac:dyDescent="0.3">
      <c r="A66">
        <v>45290</v>
      </c>
      <c r="B66" t="s">
        <v>135</v>
      </c>
      <c r="C66" t="s">
        <v>136</v>
      </c>
      <c r="D66">
        <v>6203949247</v>
      </c>
      <c r="E66">
        <v>7669316</v>
      </c>
    </row>
    <row r="67" spans="1:5" x14ac:dyDescent="0.3">
      <c r="A67">
        <v>3990</v>
      </c>
      <c r="B67" t="s">
        <v>137</v>
      </c>
      <c r="C67" t="s">
        <v>138</v>
      </c>
      <c r="D67" t="s">
        <v>139</v>
      </c>
      <c r="E67">
        <v>7650111</v>
      </c>
    </row>
    <row r="68" spans="1:5" x14ac:dyDescent="0.3">
      <c r="A68">
        <v>3991</v>
      </c>
      <c r="B68" t="s">
        <v>140</v>
      </c>
      <c r="C68" t="s">
        <v>141</v>
      </c>
      <c r="D68" t="s">
        <v>139</v>
      </c>
      <c r="E68">
        <v>7661046</v>
      </c>
    </row>
    <row r="69" spans="1:5" x14ac:dyDescent="0.3">
      <c r="A69">
        <v>12396</v>
      </c>
      <c r="B69" t="s">
        <v>143</v>
      </c>
      <c r="C69" t="s">
        <v>144</v>
      </c>
      <c r="D69">
        <v>6103002422</v>
      </c>
      <c r="E69">
        <v>7612678</v>
      </c>
    </row>
    <row r="70" spans="1:5" x14ac:dyDescent="0.3">
      <c r="A70">
        <v>12397</v>
      </c>
      <c r="B70" t="s">
        <v>145</v>
      </c>
      <c r="C70" t="s">
        <v>144</v>
      </c>
      <c r="D70">
        <v>6103002422</v>
      </c>
      <c r="E70">
        <v>7612667</v>
      </c>
    </row>
    <row r="71" spans="1:5" x14ac:dyDescent="0.3">
      <c r="A71">
        <v>3994</v>
      </c>
      <c r="B71" t="s">
        <v>146</v>
      </c>
      <c r="C71" t="s">
        <v>147</v>
      </c>
      <c r="D71">
        <v>6102038376</v>
      </c>
      <c r="E71">
        <v>7717876</v>
      </c>
    </row>
    <row r="72" spans="1:5" x14ac:dyDescent="0.3">
      <c r="A72">
        <v>3978</v>
      </c>
      <c r="B72" t="s">
        <v>148</v>
      </c>
      <c r="C72" t="s">
        <v>149</v>
      </c>
      <c r="D72" t="s">
        <v>30</v>
      </c>
      <c r="E72">
        <v>7718999</v>
      </c>
    </row>
    <row r="73" spans="1:5" x14ac:dyDescent="0.3">
      <c r="A73">
        <v>3979</v>
      </c>
      <c r="B73" t="s">
        <v>222</v>
      </c>
      <c r="C73" t="s">
        <v>150</v>
      </c>
      <c r="D73" t="s">
        <v>151</v>
      </c>
      <c r="E73">
        <v>7667702</v>
      </c>
    </row>
    <row r="74" spans="1:5" x14ac:dyDescent="0.3">
      <c r="A74">
        <v>3980</v>
      </c>
      <c r="B74" t="s">
        <v>221</v>
      </c>
      <c r="C74" t="s">
        <v>150</v>
      </c>
      <c r="D74" t="s">
        <v>151</v>
      </c>
      <c r="E74">
        <v>7716872</v>
      </c>
    </row>
    <row r="75" spans="1:5" x14ac:dyDescent="0.3">
      <c r="A75">
        <v>13317</v>
      </c>
      <c r="B75" t="s">
        <v>152</v>
      </c>
      <c r="C75" t="s">
        <v>150</v>
      </c>
      <c r="D75">
        <v>6103004482</v>
      </c>
      <c r="E75">
        <v>7618478</v>
      </c>
    </row>
    <row r="76" spans="1:5" x14ac:dyDescent="0.3">
      <c r="A76">
        <v>13318</v>
      </c>
      <c r="B76" t="s">
        <v>153</v>
      </c>
      <c r="C76" t="s">
        <v>150</v>
      </c>
      <c r="D76">
        <v>6103004482</v>
      </c>
      <c r="E76">
        <v>7618489</v>
      </c>
    </row>
    <row r="77" spans="1:5" x14ac:dyDescent="0.3">
      <c r="A77">
        <v>3987</v>
      </c>
      <c r="B77" t="s">
        <v>154</v>
      </c>
      <c r="C77" t="s">
        <v>155</v>
      </c>
      <c r="D77" t="s">
        <v>36</v>
      </c>
      <c r="E77">
        <v>7720854</v>
      </c>
    </row>
    <row r="78" spans="1:5" x14ac:dyDescent="0.3">
      <c r="A78">
        <v>3986</v>
      </c>
      <c r="B78" t="s">
        <v>156</v>
      </c>
      <c r="C78" t="s">
        <v>155</v>
      </c>
      <c r="D78" t="s">
        <v>36</v>
      </c>
      <c r="E78">
        <v>7715022</v>
      </c>
    </row>
    <row r="79" spans="1:5" x14ac:dyDescent="0.3">
      <c r="A79">
        <v>3968</v>
      </c>
      <c r="B79" t="s">
        <v>157</v>
      </c>
      <c r="C79" t="s">
        <v>158</v>
      </c>
      <c r="D79" t="s">
        <v>159</v>
      </c>
      <c r="E79">
        <v>7721718</v>
      </c>
    </row>
    <row r="80" spans="1:5" x14ac:dyDescent="0.3">
      <c r="A80">
        <v>3969</v>
      </c>
      <c r="B80" t="s">
        <v>160</v>
      </c>
      <c r="C80" t="s">
        <v>158</v>
      </c>
      <c r="D80" t="s">
        <v>159</v>
      </c>
      <c r="E80">
        <v>7721715</v>
      </c>
    </row>
    <row r="81" spans="1:5" x14ac:dyDescent="0.3">
      <c r="A81">
        <v>48703</v>
      </c>
      <c r="B81" t="s">
        <v>210</v>
      </c>
      <c r="C81" t="s">
        <v>161</v>
      </c>
      <c r="D81" t="s">
        <v>162</v>
      </c>
      <c r="E81" t="s">
        <v>211</v>
      </c>
    </row>
    <row r="82" spans="1:5" x14ac:dyDescent="0.3">
      <c r="A82">
        <v>45279</v>
      </c>
      <c r="B82" t="s">
        <v>163</v>
      </c>
      <c r="C82" t="s">
        <v>164</v>
      </c>
      <c r="D82">
        <v>6102046251</v>
      </c>
      <c r="E82">
        <v>7678163</v>
      </c>
    </row>
    <row r="83" spans="1:5" x14ac:dyDescent="0.3">
      <c r="A83">
        <v>45280</v>
      </c>
      <c r="B83" t="s">
        <v>165</v>
      </c>
      <c r="C83" t="s">
        <v>164</v>
      </c>
      <c r="D83">
        <v>6102047562</v>
      </c>
      <c r="E83">
        <v>7718929</v>
      </c>
    </row>
    <row r="84" spans="1:5" x14ac:dyDescent="0.3">
      <c r="A84">
        <v>12408</v>
      </c>
      <c r="B84" t="s">
        <v>166</v>
      </c>
      <c r="C84" t="s">
        <v>167</v>
      </c>
      <c r="D84" t="s">
        <v>168</v>
      </c>
      <c r="E84">
        <v>7718861</v>
      </c>
    </row>
    <row r="85" spans="1:5" x14ac:dyDescent="0.3">
      <c r="A85">
        <v>44570</v>
      </c>
      <c r="B85" t="s">
        <v>169</v>
      </c>
      <c r="C85" t="s">
        <v>170</v>
      </c>
      <c r="D85">
        <v>6103054611</v>
      </c>
      <c r="E85">
        <v>7711788</v>
      </c>
    </row>
    <row r="86" spans="1:5" x14ac:dyDescent="0.3">
      <c r="A86">
        <v>48657</v>
      </c>
      <c r="B86" t="s">
        <v>171</v>
      </c>
      <c r="C86" t="s">
        <v>172</v>
      </c>
      <c r="D86">
        <v>6102253330</v>
      </c>
      <c r="E86" t="s">
        <v>173</v>
      </c>
    </row>
    <row r="87" spans="1:5" x14ac:dyDescent="0.3">
      <c r="A87">
        <v>3982</v>
      </c>
      <c r="B87" t="s">
        <v>175</v>
      </c>
      <c r="C87" t="s">
        <v>176</v>
      </c>
      <c r="D87" t="s">
        <v>33</v>
      </c>
      <c r="E87">
        <v>250088519</v>
      </c>
    </row>
    <row r="88" spans="1:5" x14ac:dyDescent="0.3">
      <c r="A88">
        <v>48381</v>
      </c>
      <c r="B88" t="s">
        <v>177</v>
      </c>
      <c r="C88" t="s">
        <v>178</v>
      </c>
      <c r="D88">
        <v>6103063019</v>
      </c>
      <c r="E88">
        <v>250893845</v>
      </c>
    </row>
    <row r="89" spans="1:5" x14ac:dyDescent="0.3">
      <c r="A89">
        <v>48382</v>
      </c>
      <c r="B89" t="s">
        <v>179</v>
      </c>
      <c r="C89" t="s">
        <v>178</v>
      </c>
      <c r="D89">
        <v>6103063020</v>
      </c>
      <c r="E89">
        <v>250893844</v>
      </c>
    </row>
    <row r="90" spans="1:5" x14ac:dyDescent="0.3">
      <c r="A90">
        <v>48383</v>
      </c>
      <c r="B90" t="s">
        <v>180</v>
      </c>
      <c r="C90" t="s">
        <v>181</v>
      </c>
      <c r="D90">
        <v>6103065471</v>
      </c>
      <c r="E90">
        <v>250893941</v>
      </c>
    </row>
    <row r="91" spans="1:5" x14ac:dyDescent="0.3">
      <c r="A91">
        <v>48370</v>
      </c>
      <c r="B91" t="s">
        <v>182</v>
      </c>
      <c r="C91" t="s">
        <v>181</v>
      </c>
      <c r="D91">
        <v>6103065121</v>
      </c>
      <c r="E91">
        <v>250893944</v>
      </c>
    </row>
    <row r="92" spans="1:5" x14ac:dyDescent="0.3">
      <c r="A92">
        <v>48369</v>
      </c>
      <c r="B92" t="s">
        <v>183</v>
      </c>
      <c r="C92" t="s">
        <v>181</v>
      </c>
      <c r="D92">
        <v>6103065120</v>
      </c>
      <c r="E92">
        <v>250893939</v>
      </c>
    </row>
    <row r="93" spans="1:5" x14ac:dyDescent="0.3">
      <c r="A93">
        <v>48486</v>
      </c>
      <c r="B93" t="s">
        <v>184</v>
      </c>
      <c r="C93" t="s">
        <v>185</v>
      </c>
      <c r="D93">
        <v>6103068525</v>
      </c>
      <c r="E93">
        <v>250062152</v>
      </c>
    </row>
    <row r="94" spans="1:5" x14ac:dyDescent="0.3">
      <c r="A94">
        <v>45288</v>
      </c>
      <c r="B94" t="s">
        <v>186</v>
      </c>
      <c r="C94" t="s">
        <v>187</v>
      </c>
      <c r="D94">
        <v>6103031796</v>
      </c>
      <c r="E94">
        <v>7668200</v>
      </c>
    </row>
    <row r="95" spans="1:5" x14ac:dyDescent="0.3">
      <c r="A95">
        <v>12401</v>
      </c>
      <c r="B95" t="s">
        <v>188</v>
      </c>
      <c r="C95" t="s">
        <v>189</v>
      </c>
      <c r="D95" t="s">
        <v>190</v>
      </c>
      <c r="E95">
        <v>7692577</v>
      </c>
    </row>
    <row r="96" spans="1:5" x14ac:dyDescent="0.3">
      <c r="A96">
        <v>12369</v>
      </c>
      <c r="B96" t="s">
        <v>191</v>
      </c>
      <c r="C96" t="s">
        <v>192</v>
      </c>
      <c r="D96">
        <v>6102005454</v>
      </c>
      <c r="E96">
        <v>7692429</v>
      </c>
    </row>
    <row r="97" spans="1:5" x14ac:dyDescent="0.3">
      <c r="A97">
        <v>24891</v>
      </c>
      <c r="B97" t="s">
        <v>193</v>
      </c>
      <c r="C97" t="s">
        <v>192</v>
      </c>
      <c r="D97">
        <v>6102005592</v>
      </c>
      <c r="E97">
        <v>218043729</v>
      </c>
    </row>
    <row r="98" spans="1:5" x14ac:dyDescent="0.3">
      <c r="A98">
        <v>12370</v>
      </c>
      <c r="B98" t="s">
        <v>193</v>
      </c>
      <c r="C98" t="s">
        <v>192</v>
      </c>
      <c r="D98">
        <v>6102005592</v>
      </c>
      <c r="E98">
        <v>7692773</v>
      </c>
    </row>
    <row r="99" spans="1:5" x14ac:dyDescent="0.3">
      <c r="A99">
        <v>45309</v>
      </c>
      <c r="B99" t="s">
        <v>194</v>
      </c>
      <c r="C99" t="s">
        <v>195</v>
      </c>
      <c r="D99" t="s">
        <v>196</v>
      </c>
      <c r="E99">
        <v>251061536</v>
      </c>
    </row>
    <row r="100" spans="1:5" x14ac:dyDescent="0.3">
      <c r="A100">
        <v>45300</v>
      </c>
      <c r="B100" t="s">
        <v>197</v>
      </c>
      <c r="C100" t="s">
        <v>83</v>
      </c>
      <c r="D100" t="s">
        <v>84</v>
      </c>
      <c r="E100">
        <v>7719324</v>
      </c>
    </row>
    <row r="101" spans="1:5" x14ac:dyDescent="0.3">
      <c r="A101">
        <v>12394</v>
      </c>
      <c r="B101" t="s">
        <v>198</v>
      </c>
      <c r="C101" t="s">
        <v>199</v>
      </c>
      <c r="D101">
        <v>6102823324</v>
      </c>
      <c r="E101">
        <v>7692314</v>
      </c>
    </row>
    <row r="102" spans="1:5" x14ac:dyDescent="0.3">
      <c r="A102">
        <v>12395</v>
      </c>
      <c r="B102" t="s">
        <v>200</v>
      </c>
      <c r="C102" t="s">
        <v>199</v>
      </c>
      <c r="D102">
        <v>6102823324</v>
      </c>
      <c r="E102">
        <v>7691777</v>
      </c>
    </row>
    <row r="103" spans="1:5" x14ac:dyDescent="0.3">
      <c r="A103">
        <v>48385</v>
      </c>
      <c r="B103" t="s">
        <v>223</v>
      </c>
      <c r="C103" t="s">
        <v>201</v>
      </c>
      <c r="D103">
        <v>6103067996</v>
      </c>
      <c r="E103">
        <v>250893913</v>
      </c>
    </row>
    <row r="104" spans="1:5" x14ac:dyDescent="0.3">
      <c r="A104">
        <v>48384</v>
      </c>
      <c r="B104" t="s">
        <v>202</v>
      </c>
      <c r="C104" t="s">
        <v>203</v>
      </c>
      <c r="D104">
        <v>6103066694</v>
      </c>
      <c r="E104">
        <v>250893799</v>
      </c>
    </row>
    <row r="105" spans="1:5" x14ac:dyDescent="0.3">
      <c r="A105">
        <v>45575</v>
      </c>
      <c r="B105" t="s">
        <v>204</v>
      </c>
      <c r="C105" t="s">
        <v>205</v>
      </c>
      <c r="D105">
        <v>6103056625</v>
      </c>
      <c r="E105">
        <v>7668210</v>
      </c>
    </row>
    <row r="106" spans="1:5" x14ac:dyDescent="0.3">
      <c r="A106">
        <v>48750</v>
      </c>
      <c r="B106" t="s">
        <v>219</v>
      </c>
      <c r="C106" t="s">
        <v>238</v>
      </c>
      <c r="D106" t="s">
        <v>207</v>
      </c>
      <c r="E106" t="s">
        <v>220</v>
      </c>
    </row>
    <row r="107" spans="1:5" x14ac:dyDescent="0.3">
      <c r="A107" s="2">
        <v>48377</v>
      </c>
      <c r="B107" s="2" t="s">
        <v>224</v>
      </c>
      <c r="C107" s="2" t="s">
        <v>225</v>
      </c>
      <c r="D107" s="2">
        <v>6103077259</v>
      </c>
      <c r="E107" s="2"/>
    </row>
    <row r="108" spans="1:5" x14ac:dyDescent="0.3">
      <c r="A108" s="2">
        <v>49198</v>
      </c>
      <c r="B108" s="2" t="s">
        <v>226</v>
      </c>
      <c r="D108" s="2">
        <v>6102126219</v>
      </c>
    </row>
    <row r="109" spans="1:5" x14ac:dyDescent="0.3">
      <c r="A109" s="2">
        <v>49199</v>
      </c>
      <c r="B109" s="2" t="s">
        <v>227</v>
      </c>
      <c r="D109" s="2">
        <v>6102159807</v>
      </c>
    </row>
    <row r="110" spans="1:5" x14ac:dyDescent="0.3">
      <c r="A110" s="2">
        <v>49913</v>
      </c>
      <c r="B110" s="2" t="s">
        <v>230</v>
      </c>
      <c r="C110" s="2" t="s">
        <v>232</v>
      </c>
      <c r="D110">
        <v>6103086897</v>
      </c>
    </row>
    <row r="111" spans="1:5" x14ac:dyDescent="0.3">
      <c r="A111" s="2">
        <v>49914</v>
      </c>
      <c r="B111" s="2" t="s">
        <v>231</v>
      </c>
      <c r="C111" s="2" t="s">
        <v>233</v>
      </c>
      <c r="D111">
        <v>6203397522</v>
      </c>
    </row>
    <row r="112" spans="1:5" x14ac:dyDescent="0.3">
      <c r="A112" s="2">
        <v>49915</v>
      </c>
      <c r="B112" s="6" t="s">
        <v>234</v>
      </c>
      <c r="C112" s="2" t="s">
        <v>235</v>
      </c>
      <c r="D112">
        <v>6103009639</v>
      </c>
    </row>
    <row r="113" spans="1:4" x14ac:dyDescent="0.3">
      <c r="A113" s="2">
        <v>49916</v>
      </c>
      <c r="B113" s="2" t="s">
        <v>236</v>
      </c>
      <c r="C113" s="2" t="s">
        <v>239</v>
      </c>
      <c r="D113">
        <v>6203848319</v>
      </c>
    </row>
    <row r="114" spans="1:4" x14ac:dyDescent="0.3">
      <c r="A114" s="2">
        <v>49917</v>
      </c>
      <c r="B114" s="2" t="s">
        <v>240</v>
      </c>
      <c r="C114" s="2" t="s">
        <v>58</v>
      </c>
      <c r="D114">
        <v>6203397519</v>
      </c>
    </row>
    <row r="115" spans="1:4" x14ac:dyDescent="0.3">
      <c r="A115" s="2">
        <v>49918</v>
      </c>
      <c r="B115" s="2" t="s">
        <v>241</v>
      </c>
      <c r="C115" s="2" t="s">
        <v>242</v>
      </c>
      <c r="D115">
        <v>6102798810</v>
      </c>
    </row>
    <row r="116" spans="1:4" x14ac:dyDescent="0.3">
      <c r="A116" s="2">
        <v>49919</v>
      </c>
      <c r="B116" s="2" t="s">
        <v>243</v>
      </c>
      <c r="C116" s="2" t="s">
        <v>237</v>
      </c>
      <c r="D116">
        <v>6103010326</v>
      </c>
    </row>
    <row r="117" spans="1:4" x14ac:dyDescent="0.3">
      <c r="A117" s="2">
        <v>49920</v>
      </c>
      <c r="B117" s="2" t="s">
        <v>244</v>
      </c>
      <c r="C117" s="2" t="s">
        <v>245</v>
      </c>
      <c r="D117">
        <v>6102802017</v>
      </c>
    </row>
    <row r="118" spans="1:4" x14ac:dyDescent="0.3">
      <c r="A118" s="2">
        <v>49921</v>
      </c>
      <c r="B118" s="2" t="s">
        <v>246</v>
      </c>
      <c r="C118" s="2" t="s">
        <v>105</v>
      </c>
      <c r="D118">
        <v>6102009743</v>
      </c>
    </row>
    <row r="119" spans="1:4" x14ac:dyDescent="0.3">
      <c r="A119" s="2">
        <v>49922</v>
      </c>
      <c r="B119" s="2" t="s">
        <v>247</v>
      </c>
      <c r="C119" s="2" t="s">
        <v>248</v>
      </c>
      <c r="D119">
        <v>6103054578</v>
      </c>
    </row>
    <row r="120" spans="1:4" x14ac:dyDescent="0.3">
      <c r="A120" s="2">
        <v>49923</v>
      </c>
      <c r="B120" s="2" t="s">
        <v>249</v>
      </c>
      <c r="C120" s="2" t="s">
        <v>218</v>
      </c>
      <c r="D120" t="s">
        <v>228</v>
      </c>
    </row>
    <row r="121" spans="1:4" x14ac:dyDescent="0.3">
      <c r="A121" s="2">
        <v>49924</v>
      </c>
      <c r="B121" s="2" t="s">
        <v>250</v>
      </c>
      <c r="C121" s="2" t="s">
        <v>218</v>
      </c>
      <c r="D121" t="s">
        <v>229</v>
      </c>
    </row>
    <row r="122" spans="1:4" x14ac:dyDescent="0.3">
      <c r="A122" s="2">
        <v>49925</v>
      </c>
      <c r="B122" s="2" t="s">
        <v>251</v>
      </c>
      <c r="C122" s="2" t="s">
        <v>218</v>
      </c>
      <c r="D122">
        <v>6102136796</v>
      </c>
    </row>
  </sheetData>
  <phoneticPr fontId="20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72948-8979-41B5-9D50-68D5D4DAE826}">
  <sheetPr filterMode="1"/>
  <dimension ref="A1:L103"/>
  <sheetViews>
    <sheetView workbookViewId="0">
      <selection activeCell="K7" sqref="K7:K99"/>
    </sheetView>
  </sheetViews>
  <sheetFormatPr defaultColWidth="8.77734375" defaultRowHeight="14.4" x14ac:dyDescent="0.3"/>
  <cols>
    <col min="1" max="1" width="12.44140625" bestFit="1" customWidth="1"/>
    <col min="4" max="4" width="12.44140625" bestFit="1" customWidth="1"/>
    <col min="6" max="6" width="14.77734375" customWidth="1"/>
    <col min="7" max="7" width="11.109375" bestFit="1" customWidth="1"/>
    <col min="11" max="11" width="12.33203125" style="5" customWidth="1"/>
    <col min="12" max="12" width="11" bestFit="1" customWidth="1"/>
  </cols>
  <sheetData>
    <row r="1" spans="1:12" x14ac:dyDescent="0.3">
      <c r="A1" t="s">
        <v>3</v>
      </c>
      <c r="D1" t="s">
        <v>206</v>
      </c>
      <c r="K1" s="5" t="s">
        <v>3</v>
      </c>
    </row>
    <row r="2" spans="1:12" hidden="1" x14ac:dyDescent="0.3">
      <c r="A2">
        <v>6103029663</v>
      </c>
      <c r="B2" t="str">
        <f>IFERROR(IF(MATCH($A2,$G$2:$G$91,0),"Yes"),"No")</f>
        <v>Yes</v>
      </c>
      <c r="D2">
        <v>6102000812</v>
      </c>
      <c r="E2" t="str">
        <f>IFERROR(IF(MATCH($D2,$A$2:$A$87,0),"Yes"),"No")</f>
        <v>Yes</v>
      </c>
      <c r="G2" s="3">
        <v>6102000812</v>
      </c>
      <c r="H2" t="str">
        <f>IFERROR(IF(MATCH($G2,$A$2:$A$114,0),"Yes"),"No")</f>
        <v>Yes</v>
      </c>
      <c r="K2" s="5">
        <v>6102000812</v>
      </c>
      <c r="L2">
        <f>_xlfn.XLOOKUP(K2,D:D,D:D)</f>
        <v>6102000812</v>
      </c>
    </row>
    <row r="3" spans="1:12" hidden="1" x14ac:dyDescent="0.3">
      <c r="A3">
        <v>6103029662</v>
      </c>
      <c r="B3" t="str">
        <f t="shared" ref="B3:B66" si="0">IFERROR(IF(MATCH($A3,$G$2:$G$91,0),"Yes"),"No")</f>
        <v>Yes</v>
      </c>
      <c r="D3">
        <v>6102002302</v>
      </c>
      <c r="E3" t="str">
        <f t="shared" ref="E3:E66" si="1">IFERROR(IF(MATCH($D3,$A$2:$A$87,0),"Yes"),"No")</f>
        <v>Yes</v>
      </c>
      <c r="G3" s="4">
        <v>6102002302</v>
      </c>
      <c r="H3" t="str">
        <f t="shared" ref="H3:H66" si="2">IFERROR(IF(MATCH($G3,$A$2:$A$114,0),"Yes"),"No")</f>
        <v>Yes</v>
      </c>
      <c r="K3" s="5">
        <v>6102002302</v>
      </c>
      <c r="L3">
        <f t="shared" ref="L3:L66" si="3">_xlfn.XLOOKUP(K3,D:D,D:D)</f>
        <v>6102002302</v>
      </c>
    </row>
    <row r="4" spans="1:12" hidden="1" x14ac:dyDescent="0.3">
      <c r="A4">
        <v>6102332526</v>
      </c>
      <c r="B4" t="str">
        <f t="shared" si="0"/>
        <v>Yes</v>
      </c>
      <c r="D4">
        <v>6102005454</v>
      </c>
      <c r="E4" t="str">
        <f t="shared" si="1"/>
        <v>Yes</v>
      </c>
      <c r="G4" s="3">
        <v>6102005454</v>
      </c>
      <c r="H4" t="str">
        <f t="shared" si="2"/>
        <v>Yes</v>
      </c>
      <c r="K4" s="5">
        <v>6102005454</v>
      </c>
      <c r="L4">
        <f>_xlfn.XLOOKUP(K4,D:D,D:D)</f>
        <v>6102005454</v>
      </c>
    </row>
    <row r="5" spans="1:12" hidden="1" x14ac:dyDescent="0.3">
      <c r="A5">
        <v>6102329966</v>
      </c>
      <c r="B5" t="str">
        <f t="shared" si="0"/>
        <v>Yes</v>
      </c>
      <c r="D5">
        <v>6102005592</v>
      </c>
      <c r="E5" t="str">
        <f t="shared" si="1"/>
        <v>Yes</v>
      </c>
      <c r="G5" s="4">
        <v>6102005592</v>
      </c>
      <c r="H5" t="str">
        <f t="shared" si="2"/>
        <v>Yes</v>
      </c>
      <c r="K5" s="5">
        <v>6102005592</v>
      </c>
      <c r="L5">
        <f>_xlfn.XLOOKUP(K5,D:D,D:D)</f>
        <v>6102005592</v>
      </c>
    </row>
    <row r="6" spans="1:12" hidden="1" x14ac:dyDescent="0.3">
      <c r="A6" t="s">
        <v>15</v>
      </c>
      <c r="B6" t="str">
        <f t="shared" si="0"/>
        <v>Yes</v>
      </c>
      <c r="D6">
        <v>6102009742</v>
      </c>
      <c r="E6" t="str">
        <f t="shared" si="1"/>
        <v>Yes</v>
      </c>
      <c r="G6" s="3">
        <v>6102009742</v>
      </c>
      <c r="H6" t="str">
        <f t="shared" si="2"/>
        <v>Yes</v>
      </c>
      <c r="K6" s="5">
        <v>6102009742</v>
      </c>
      <c r="L6">
        <f>_xlfn.XLOOKUP(K6,D:D,D:D)</f>
        <v>6102009742</v>
      </c>
    </row>
    <row r="7" spans="1:12" x14ac:dyDescent="0.3">
      <c r="A7" t="s">
        <v>17</v>
      </c>
      <c r="B7" t="str">
        <f t="shared" si="0"/>
        <v>Yes</v>
      </c>
      <c r="D7">
        <v>6102009744</v>
      </c>
      <c r="E7" t="str">
        <f t="shared" si="1"/>
        <v>Yes</v>
      </c>
      <c r="G7" s="4">
        <v>6102009744</v>
      </c>
      <c r="H7" t="str">
        <f t="shared" si="2"/>
        <v>Yes</v>
      </c>
      <c r="K7" s="5">
        <v>6102009743</v>
      </c>
      <c r="L7" t="e">
        <f>_xlfn.XLOOKUP(K7,D:D,D:D)</f>
        <v>#N/A</v>
      </c>
    </row>
    <row r="8" spans="1:12" hidden="1" x14ac:dyDescent="0.3">
      <c r="A8">
        <v>6103005867</v>
      </c>
      <c r="B8" t="str">
        <f t="shared" si="0"/>
        <v>Yes</v>
      </c>
      <c r="D8">
        <v>6102023971</v>
      </c>
      <c r="E8" t="str">
        <f t="shared" si="1"/>
        <v>Yes</v>
      </c>
      <c r="G8" s="3">
        <v>6102023971</v>
      </c>
      <c r="H8" t="str">
        <f t="shared" si="2"/>
        <v>Yes</v>
      </c>
      <c r="K8" s="5">
        <v>6102009744</v>
      </c>
      <c r="L8">
        <f t="shared" si="3"/>
        <v>6102009744</v>
      </c>
    </row>
    <row r="9" spans="1:12" hidden="1" x14ac:dyDescent="0.3">
      <c r="A9">
        <v>6103005869</v>
      </c>
      <c r="B9" t="str">
        <f t="shared" si="0"/>
        <v>Yes</v>
      </c>
      <c r="D9">
        <v>6102038376</v>
      </c>
      <c r="E9" t="str">
        <f t="shared" si="1"/>
        <v>Yes</v>
      </c>
      <c r="G9" s="4">
        <v>6102038376</v>
      </c>
      <c r="H9" t="str">
        <f t="shared" si="2"/>
        <v>Yes</v>
      </c>
      <c r="K9" s="5">
        <v>6102023971</v>
      </c>
      <c r="L9">
        <f t="shared" si="3"/>
        <v>6102023971</v>
      </c>
    </row>
    <row r="10" spans="1:12" hidden="1" x14ac:dyDescent="0.3">
      <c r="A10">
        <v>6102023971</v>
      </c>
      <c r="B10" t="str">
        <f t="shared" si="0"/>
        <v>Yes</v>
      </c>
      <c r="D10">
        <v>6102046251</v>
      </c>
      <c r="E10" t="str">
        <f t="shared" si="1"/>
        <v>Yes</v>
      </c>
      <c r="G10" s="3">
        <v>6102046251</v>
      </c>
      <c r="H10" t="str">
        <f t="shared" si="2"/>
        <v>Yes</v>
      </c>
      <c r="K10" s="5">
        <v>6102038376</v>
      </c>
      <c r="L10">
        <f t="shared" si="3"/>
        <v>6102038376</v>
      </c>
    </row>
    <row r="11" spans="1:12" hidden="1" x14ac:dyDescent="0.3">
      <c r="A11" t="s">
        <v>25</v>
      </c>
      <c r="B11" t="str">
        <f t="shared" si="0"/>
        <v>Yes</v>
      </c>
      <c r="D11">
        <v>6102047562</v>
      </c>
      <c r="E11" t="str">
        <f t="shared" si="1"/>
        <v>Yes</v>
      </c>
      <c r="G11" s="4">
        <v>6102047562</v>
      </c>
      <c r="H11" t="str">
        <f t="shared" si="2"/>
        <v>Yes</v>
      </c>
      <c r="K11" s="5">
        <v>6102046251</v>
      </c>
      <c r="L11">
        <f t="shared" si="3"/>
        <v>6102046251</v>
      </c>
    </row>
    <row r="12" spans="1:12" hidden="1" x14ac:dyDescent="0.3">
      <c r="A12">
        <v>6102573328</v>
      </c>
      <c r="B12" t="str">
        <f t="shared" si="0"/>
        <v>Yes</v>
      </c>
      <c r="D12">
        <v>6102079015</v>
      </c>
      <c r="E12" t="str">
        <f t="shared" si="1"/>
        <v>Yes</v>
      </c>
      <c r="G12" s="3">
        <v>6102079015</v>
      </c>
      <c r="H12" t="str">
        <f t="shared" si="2"/>
        <v>Yes</v>
      </c>
      <c r="K12" s="5">
        <v>6102047562</v>
      </c>
      <c r="L12">
        <f t="shared" si="3"/>
        <v>6102047562</v>
      </c>
    </row>
    <row r="13" spans="1:12" hidden="1" x14ac:dyDescent="0.3">
      <c r="A13" t="s">
        <v>30</v>
      </c>
      <c r="B13" t="str">
        <f t="shared" si="0"/>
        <v>Yes</v>
      </c>
      <c r="D13" s="1">
        <v>6102126219</v>
      </c>
      <c r="E13" s="1" t="str">
        <f t="shared" si="1"/>
        <v>No</v>
      </c>
      <c r="G13" s="4">
        <v>6102126219</v>
      </c>
      <c r="H13" t="str">
        <f t="shared" si="2"/>
        <v>Yes</v>
      </c>
      <c r="K13" s="5">
        <v>6102079015</v>
      </c>
      <c r="L13">
        <f t="shared" si="3"/>
        <v>6102079015</v>
      </c>
    </row>
    <row r="14" spans="1:12" hidden="1" x14ac:dyDescent="0.3">
      <c r="A14" t="s">
        <v>33</v>
      </c>
      <c r="B14" t="str">
        <f t="shared" si="0"/>
        <v>Yes</v>
      </c>
      <c r="D14" s="1">
        <v>6102159807</v>
      </c>
      <c r="E14" s="1" t="str">
        <f t="shared" si="1"/>
        <v>No</v>
      </c>
      <c r="G14" s="3">
        <v>6102159807</v>
      </c>
      <c r="H14" t="str">
        <f t="shared" si="2"/>
        <v>Yes</v>
      </c>
      <c r="K14" s="5">
        <v>6102126219</v>
      </c>
      <c r="L14">
        <f t="shared" si="3"/>
        <v>6102126219</v>
      </c>
    </row>
    <row r="15" spans="1:12" x14ac:dyDescent="0.3">
      <c r="A15" t="s">
        <v>36</v>
      </c>
      <c r="B15" t="str">
        <f t="shared" si="0"/>
        <v>Yes</v>
      </c>
      <c r="D15">
        <v>6102241120</v>
      </c>
      <c r="E15" t="str">
        <f t="shared" si="1"/>
        <v>Yes</v>
      </c>
      <c r="G15" s="4">
        <v>6102241120</v>
      </c>
      <c r="H15" t="str">
        <f t="shared" si="2"/>
        <v>Yes</v>
      </c>
      <c r="K15" s="5">
        <v>6102136796</v>
      </c>
      <c r="L15" t="e">
        <f t="shared" si="3"/>
        <v>#N/A</v>
      </c>
    </row>
    <row r="16" spans="1:12" hidden="1" x14ac:dyDescent="0.3">
      <c r="A16" t="s">
        <v>39</v>
      </c>
      <c r="B16" t="str">
        <f t="shared" si="0"/>
        <v>Yes</v>
      </c>
      <c r="D16">
        <v>6102253330</v>
      </c>
      <c r="E16" t="str">
        <f t="shared" si="1"/>
        <v>Yes</v>
      </c>
      <c r="G16" s="3">
        <v>6102253330</v>
      </c>
      <c r="H16" t="str">
        <f t="shared" si="2"/>
        <v>Yes</v>
      </c>
      <c r="K16" s="5">
        <v>6102159807</v>
      </c>
      <c r="L16">
        <f t="shared" si="3"/>
        <v>6102159807</v>
      </c>
    </row>
    <row r="17" spans="1:12" hidden="1" x14ac:dyDescent="0.3">
      <c r="A17" t="s">
        <v>42</v>
      </c>
      <c r="B17" t="str">
        <f t="shared" si="0"/>
        <v>Yes</v>
      </c>
      <c r="D17">
        <v>6102284820</v>
      </c>
      <c r="E17" t="str">
        <f t="shared" si="1"/>
        <v>Yes</v>
      </c>
      <c r="G17" s="4">
        <v>6102284820</v>
      </c>
      <c r="H17" t="str">
        <f t="shared" si="2"/>
        <v>Yes</v>
      </c>
      <c r="K17" s="5">
        <v>6102241120</v>
      </c>
      <c r="L17">
        <f t="shared" si="3"/>
        <v>6102241120</v>
      </c>
    </row>
    <row r="18" spans="1:12" hidden="1" x14ac:dyDescent="0.3">
      <c r="A18" t="s">
        <v>45</v>
      </c>
      <c r="B18" t="str">
        <f t="shared" si="0"/>
        <v>Yes</v>
      </c>
      <c r="D18">
        <v>6102329966</v>
      </c>
      <c r="E18" t="str">
        <f t="shared" si="1"/>
        <v>Yes</v>
      </c>
      <c r="G18" s="3">
        <v>6102329966</v>
      </c>
      <c r="H18" t="str">
        <f t="shared" si="2"/>
        <v>Yes</v>
      </c>
      <c r="K18" s="5">
        <v>6102253330</v>
      </c>
      <c r="L18">
        <f t="shared" si="3"/>
        <v>6102253330</v>
      </c>
    </row>
    <row r="19" spans="1:12" hidden="1" x14ac:dyDescent="0.3">
      <c r="A19">
        <v>6102548873</v>
      </c>
      <c r="B19" t="str">
        <f t="shared" si="0"/>
        <v>Yes</v>
      </c>
      <c r="D19">
        <v>6102332526</v>
      </c>
      <c r="E19" t="str">
        <f t="shared" si="1"/>
        <v>Yes</v>
      </c>
      <c r="G19" s="4">
        <v>6102332526</v>
      </c>
      <c r="H19" t="str">
        <f t="shared" si="2"/>
        <v>Yes</v>
      </c>
      <c r="K19" s="5">
        <v>6102284820</v>
      </c>
      <c r="L19">
        <f t="shared" si="3"/>
        <v>6102284820</v>
      </c>
    </row>
    <row r="20" spans="1:12" hidden="1" x14ac:dyDescent="0.3">
      <c r="A20" t="s">
        <v>51</v>
      </c>
      <c r="B20" t="str">
        <f t="shared" si="0"/>
        <v>Yes</v>
      </c>
      <c r="D20">
        <v>6102479831</v>
      </c>
      <c r="E20" t="str">
        <f t="shared" si="1"/>
        <v>Yes</v>
      </c>
      <c r="G20" s="3">
        <v>6102479831</v>
      </c>
      <c r="H20" t="str">
        <f t="shared" si="2"/>
        <v>Yes</v>
      </c>
      <c r="K20" s="5">
        <v>6102329966</v>
      </c>
      <c r="L20">
        <f t="shared" si="3"/>
        <v>6102329966</v>
      </c>
    </row>
    <row r="21" spans="1:12" hidden="1" x14ac:dyDescent="0.3">
      <c r="A21">
        <v>6102000812</v>
      </c>
      <c r="B21" t="str">
        <f t="shared" si="0"/>
        <v>Yes</v>
      </c>
      <c r="D21">
        <v>6102507141</v>
      </c>
      <c r="E21" t="str">
        <f t="shared" si="1"/>
        <v>Yes</v>
      </c>
      <c r="G21" s="4">
        <v>6102507141</v>
      </c>
      <c r="H21" t="str">
        <f t="shared" si="2"/>
        <v>Yes</v>
      </c>
      <c r="K21" s="5">
        <v>6102332526</v>
      </c>
      <c r="L21">
        <f t="shared" si="3"/>
        <v>6102332526</v>
      </c>
    </row>
    <row r="22" spans="1:12" hidden="1" x14ac:dyDescent="0.3">
      <c r="A22" t="s">
        <v>56</v>
      </c>
      <c r="B22" t="str">
        <f t="shared" si="0"/>
        <v>Yes</v>
      </c>
      <c r="D22">
        <v>6102548873</v>
      </c>
      <c r="E22" t="str">
        <f t="shared" si="1"/>
        <v>Yes</v>
      </c>
      <c r="G22" s="3">
        <v>6102548873</v>
      </c>
      <c r="H22" t="str">
        <f t="shared" si="2"/>
        <v>Yes</v>
      </c>
      <c r="K22" s="5">
        <v>6102479831</v>
      </c>
      <c r="L22">
        <f t="shared" si="3"/>
        <v>6102479831</v>
      </c>
    </row>
    <row r="23" spans="1:12" hidden="1" x14ac:dyDescent="0.3">
      <c r="A23" t="s">
        <v>59</v>
      </c>
      <c r="B23" t="str">
        <f t="shared" si="0"/>
        <v>Yes</v>
      </c>
      <c r="D23">
        <v>6102573328</v>
      </c>
      <c r="E23" t="str">
        <f t="shared" si="1"/>
        <v>Yes</v>
      </c>
      <c r="G23" s="4">
        <v>6102573328</v>
      </c>
      <c r="H23" t="str">
        <f t="shared" si="2"/>
        <v>Yes</v>
      </c>
      <c r="K23" s="5">
        <v>6102507141</v>
      </c>
      <c r="L23">
        <f t="shared" si="3"/>
        <v>6102507141</v>
      </c>
    </row>
    <row r="24" spans="1:12" hidden="1" x14ac:dyDescent="0.3">
      <c r="A24">
        <v>6102479831</v>
      </c>
      <c r="B24" t="str">
        <f t="shared" si="0"/>
        <v>Yes</v>
      </c>
      <c r="D24">
        <v>6102741362</v>
      </c>
      <c r="E24" t="str">
        <f t="shared" si="1"/>
        <v>Yes</v>
      </c>
      <c r="G24" s="3">
        <v>6102741362</v>
      </c>
      <c r="H24" t="str">
        <f t="shared" si="2"/>
        <v>Yes</v>
      </c>
      <c r="K24" s="5">
        <v>6102548873</v>
      </c>
      <c r="L24">
        <f t="shared" si="3"/>
        <v>6102548873</v>
      </c>
    </row>
    <row r="25" spans="1:12" hidden="1" x14ac:dyDescent="0.3">
      <c r="A25" t="s">
        <v>64</v>
      </c>
      <c r="B25" t="str">
        <f t="shared" si="0"/>
        <v>Yes</v>
      </c>
      <c r="D25">
        <v>6102823324</v>
      </c>
      <c r="E25" t="str">
        <f t="shared" si="1"/>
        <v>Yes</v>
      </c>
      <c r="G25" s="4">
        <v>6102823324</v>
      </c>
      <c r="H25" t="str">
        <f t="shared" si="2"/>
        <v>Yes</v>
      </c>
      <c r="K25" s="5">
        <v>6102573328</v>
      </c>
      <c r="L25">
        <f t="shared" si="3"/>
        <v>6102573328</v>
      </c>
    </row>
    <row r="26" spans="1:12" hidden="1" x14ac:dyDescent="0.3">
      <c r="A26">
        <v>6103022015</v>
      </c>
      <c r="B26" t="str">
        <f t="shared" si="0"/>
        <v>Yes</v>
      </c>
      <c r="D26">
        <v>6103002422</v>
      </c>
      <c r="E26" t="str">
        <f t="shared" si="1"/>
        <v>Yes</v>
      </c>
      <c r="G26" s="3">
        <v>6103002422</v>
      </c>
      <c r="H26" t="str">
        <f t="shared" si="2"/>
        <v>Yes</v>
      </c>
      <c r="K26" s="5">
        <v>6102741362</v>
      </c>
      <c r="L26">
        <f t="shared" si="3"/>
        <v>6102741362</v>
      </c>
    </row>
    <row r="27" spans="1:12" x14ac:dyDescent="0.3">
      <c r="A27">
        <v>6103022017</v>
      </c>
      <c r="B27" t="str">
        <f t="shared" si="0"/>
        <v>Yes</v>
      </c>
      <c r="D27">
        <v>6103004482</v>
      </c>
      <c r="E27" t="str">
        <f t="shared" si="1"/>
        <v>Yes</v>
      </c>
      <c r="G27" s="4">
        <v>6103004482</v>
      </c>
      <c r="H27" t="str">
        <f t="shared" si="2"/>
        <v>Yes</v>
      </c>
      <c r="K27" s="5">
        <v>6102798810</v>
      </c>
      <c r="L27" t="e">
        <f t="shared" si="3"/>
        <v>#N/A</v>
      </c>
    </row>
    <row r="28" spans="1:12" x14ac:dyDescent="0.3">
      <c r="A28">
        <v>6103022018</v>
      </c>
      <c r="B28" t="str">
        <f t="shared" si="0"/>
        <v>Yes</v>
      </c>
      <c r="D28">
        <v>6103005867</v>
      </c>
      <c r="E28" t="str">
        <f t="shared" si="1"/>
        <v>Yes</v>
      </c>
      <c r="G28" s="3">
        <v>6103005867</v>
      </c>
      <c r="H28" t="str">
        <f t="shared" si="2"/>
        <v>Yes</v>
      </c>
      <c r="K28" s="5">
        <v>6102802017</v>
      </c>
      <c r="L28" t="e">
        <f t="shared" si="3"/>
        <v>#N/A</v>
      </c>
    </row>
    <row r="29" spans="1:12" hidden="1" x14ac:dyDescent="0.3">
      <c r="A29" t="s">
        <v>70</v>
      </c>
      <c r="B29" t="str">
        <f t="shared" si="0"/>
        <v>Yes</v>
      </c>
      <c r="D29">
        <v>6103005869</v>
      </c>
      <c r="E29" t="str">
        <f t="shared" si="1"/>
        <v>Yes</v>
      </c>
      <c r="G29" s="4">
        <v>6103005869</v>
      </c>
      <c r="H29" t="str">
        <f t="shared" si="2"/>
        <v>Yes</v>
      </c>
      <c r="K29" s="5">
        <v>6102823324</v>
      </c>
      <c r="L29">
        <f t="shared" si="3"/>
        <v>6102823324</v>
      </c>
    </row>
    <row r="30" spans="1:12" hidden="1" x14ac:dyDescent="0.3">
      <c r="A30" t="s">
        <v>72</v>
      </c>
      <c r="B30" t="str">
        <f t="shared" si="0"/>
        <v>Yes</v>
      </c>
      <c r="D30">
        <v>6103010081</v>
      </c>
      <c r="E30" t="str">
        <f t="shared" si="1"/>
        <v>Yes</v>
      </c>
      <c r="G30" s="3">
        <v>6103010081</v>
      </c>
      <c r="H30" t="str">
        <f t="shared" si="2"/>
        <v>Yes</v>
      </c>
      <c r="K30" s="5">
        <v>6103002422</v>
      </c>
      <c r="L30">
        <f t="shared" si="3"/>
        <v>6103002422</v>
      </c>
    </row>
    <row r="31" spans="1:12" hidden="1" x14ac:dyDescent="0.3">
      <c r="A31" t="s">
        <v>75</v>
      </c>
      <c r="B31" t="str">
        <f t="shared" si="0"/>
        <v>Yes</v>
      </c>
      <c r="D31">
        <v>6103011168</v>
      </c>
      <c r="E31" t="str">
        <f t="shared" si="1"/>
        <v>Yes</v>
      </c>
      <c r="G31" s="4">
        <v>6103011168</v>
      </c>
      <c r="H31" t="str">
        <f t="shared" si="2"/>
        <v>Yes</v>
      </c>
      <c r="K31" s="5">
        <v>6103004482</v>
      </c>
      <c r="L31">
        <f t="shared" si="3"/>
        <v>6103004482</v>
      </c>
    </row>
    <row r="32" spans="1:12" hidden="1" x14ac:dyDescent="0.3">
      <c r="A32" t="s">
        <v>78</v>
      </c>
      <c r="B32" t="str">
        <f t="shared" si="0"/>
        <v>Yes</v>
      </c>
      <c r="D32">
        <v>6103015873</v>
      </c>
      <c r="E32" t="str">
        <f t="shared" si="1"/>
        <v>Yes</v>
      </c>
      <c r="G32" s="3">
        <v>6103015873</v>
      </c>
      <c r="H32" t="str">
        <f t="shared" si="2"/>
        <v>Yes</v>
      </c>
      <c r="K32" s="5">
        <v>6103005867</v>
      </c>
      <c r="L32">
        <f t="shared" si="3"/>
        <v>6103005867</v>
      </c>
    </row>
    <row r="33" spans="1:12" hidden="1" x14ac:dyDescent="0.3">
      <c r="A33" t="s">
        <v>81</v>
      </c>
      <c r="B33" t="str">
        <f t="shared" si="0"/>
        <v>Yes</v>
      </c>
      <c r="D33">
        <v>6103022015</v>
      </c>
      <c r="E33" t="str">
        <f t="shared" si="1"/>
        <v>Yes</v>
      </c>
      <c r="G33" s="4">
        <v>6103022015</v>
      </c>
      <c r="H33" t="str">
        <f t="shared" si="2"/>
        <v>Yes</v>
      </c>
      <c r="K33" s="5">
        <v>6103005869</v>
      </c>
      <c r="L33">
        <f t="shared" si="3"/>
        <v>6103005869</v>
      </c>
    </row>
    <row r="34" spans="1:12" x14ac:dyDescent="0.3">
      <c r="A34" t="s">
        <v>84</v>
      </c>
      <c r="B34" t="str">
        <f t="shared" si="0"/>
        <v>Yes</v>
      </c>
      <c r="D34">
        <v>6103022017</v>
      </c>
      <c r="E34" t="str">
        <f t="shared" si="1"/>
        <v>Yes</v>
      </c>
      <c r="G34" s="3">
        <v>6103022017</v>
      </c>
      <c r="H34" t="str">
        <f t="shared" si="2"/>
        <v>Yes</v>
      </c>
      <c r="K34" s="5">
        <v>6103009639</v>
      </c>
      <c r="L34" t="e">
        <f t="shared" si="3"/>
        <v>#N/A</v>
      </c>
    </row>
    <row r="35" spans="1:12" hidden="1" x14ac:dyDescent="0.3">
      <c r="A35" t="s">
        <v>87</v>
      </c>
      <c r="B35" t="str">
        <f t="shared" si="0"/>
        <v>Yes</v>
      </c>
      <c r="D35">
        <v>6103022018</v>
      </c>
      <c r="E35" t="str">
        <f t="shared" si="1"/>
        <v>Yes</v>
      </c>
      <c r="G35" s="4">
        <v>6103022018</v>
      </c>
      <c r="H35" t="str">
        <f t="shared" si="2"/>
        <v>Yes</v>
      </c>
      <c r="K35" s="5">
        <v>6103010081</v>
      </c>
      <c r="L35">
        <f t="shared" si="3"/>
        <v>6103010081</v>
      </c>
    </row>
    <row r="36" spans="1:12" x14ac:dyDescent="0.3">
      <c r="A36" t="s">
        <v>90</v>
      </c>
      <c r="B36" t="str">
        <f t="shared" si="0"/>
        <v>Yes</v>
      </c>
      <c r="D36">
        <v>6103029662</v>
      </c>
      <c r="E36" t="str">
        <f t="shared" si="1"/>
        <v>Yes</v>
      </c>
      <c r="G36" s="3">
        <v>6103029662</v>
      </c>
      <c r="H36" t="str">
        <f t="shared" si="2"/>
        <v>Yes</v>
      </c>
      <c r="K36" s="5">
        <v>6103010326</v>
      </c>
      <c r="L36" t="e">
        <f t="shared" si="3"/>
        <v>#N/A</v>
      </c>
    </row>
    <row r="37" spans="1:12" hidden="1" x14ac:dyDescent="0.3">
      <c r="A37" t="s">
        <v>93</v>
      </c>
      <c r="B37" t="str">
        <f t="shared" si="0"/>
        <v>Yes</v>
      </c>
      <c r="D37">
        <v>6103029663</v>
      </c>
      <c r="E37" t="str">
        <f t="shared" si="1"/>
        <v>Yes</v>
      </c>
      <c r="G37" s="4">
        <v>6103029663</v>
      </c>
      <c r="H37" t="str">
        <f t="shared" si="2"/>
        <v>Yes</v>
      </c>
      <c r="K37" s="5">
        <v>6103011168</v>
      </c>
      <c r="L37">
        <f t="shared" si="3"/>
        <v>6103011168</v>
      </c>
    </row>
    <row r="38" spans="1:12" hidden="1" x14ac:dyDescent="0.3">
      <c r="A38" t="s">
        <v>96</v>
      </c>
      <c r="B38" t="str">
        <f t="shared" si="0"/>
        <v>Yes</v>
      </c>
      <c r="D38">
        <v>6103031269</v>
      </c>
      <c r="E38" t="str">
        <f t="shared" si="1"/>
        <v>Yes</v>
      </c>
      <c r="G38" s="3">
        <v>6103031269</v>
      </c>
      <c r="H38" t="str">
        <f t="shared" si="2"/>
        <v>Yes</v>
      </c>
      <c r="K38" s="5">
        <v>6103015873</v>
      </c>
      <c r="L38">
        <f t="shared" si="3"/>
        <v>6103015873</v>
      </c>
    </row>
    <row r="39" spans="1:12" hidden="1" x14ac:dyDescent="0.3">
      <c r="A39" t="s">
        <v>101</v>
      </c>
      <c r="B39" t="str">
        <f t="shared" si="0"/>
        <v>Yes</v>
      </c>
      <c r="D39">
        <v>6103031796</v>
      </c>
      <c r="E39" t="str">
        <f t="shared" si="1"/>
        <v>Yes</v>
      </c>
      <c r="G39" s="4">
        <v>6103031796</v>
      </c>
      <c r="H39" t="str">
        <f t="shared" si="2"/>
        <v>Yes</v>
      </c>
      <c r="K39" s="5">
        <v>6103022015</v>
      </c>
      <c r="L39">
        <f t="shared" si="3"/>
        <v>6103022015</v>
      </c>
    </row>
    <row r="40" spans="1:12" hidden="1" x14ac:dyDescent="0.3">
      <c r="A40">
        <v>6102002302</v>
      </c>
      <c r="B40" t="str">
        <f t="shared" si="0"/>
        <v>Yes</v>
      </c>
      <c r="D40" s="1">
        <v>6103053746</v>
      </c>
      <c r="E40" s="1" t="str">
        <f t="shared" si="1"/>
        <v>No</v>
      </c>
      <c r="G40" s="3">
        <v>6103054611</v>
      </c>
      <c r="H40" t="str">
        <f t="shared" si="2"/>
        <v>Yes</v>
      </c>
      <c r="K40" s="5">
        <v>6103022017</v>
      </c>
      <c r="L40">
        <f t="shared" si="3"/>
        <v>6103022017</v>
      </c>
    </row>
    <row r="41" spans="1:12" hidden="1" x14ac:dyDescent="0.3">
      <c r="A41">
        <v>6102009742</v>
      </c>
      <c r="B41" t="str">
        <f t="shared" si="0"/>
        <v>Yes</v>
      </c>
      <c r="D41">
        <v>6103054611</v>
      </c>
      <c r="E41" t="str">
        <f t="shared" si="1"/>
        <v>Yes</v>
      </c>
      <c r="G41" s="4">
        <v>6103055142</v>
      </c>
      <c r="H41" t="str">
        <f t="shared" si="2"/>
        <v>Yes</v>
      </c>
      <c r="K41" s="5">
        <v>6103022018</v>
      </c>
      <c r="L41">
        <f t="shared" si="3"/>
        <v>6103022018</v>
      </c>
    </row>
    <row r="42" spans="1:12" hidden="1" x14ac:dyDescent="0.3">
      <c r="A42">
        <v>6102009744</v>
      </c>
      <c r="B42" t="str">
        <f t="shared" si="0"/>
        <v>Yes</v>
      </c>
      <c r="D42">
        <v>6103055142</v>
      </c>
      <c r="E42" t="str">
        <f t="shared" si="1"/>
        <v>Yes</v>
      </c>
      <c r="G42" s="3">
        <v>6103055392</v>
      </c>
      <c r="H42" t="str">
        <f t="shared" si="2"/>
        <v>Yes</v>
      </c>
      <c r="K42" s="5">
        <v>6103029662</v>
      </c>
      <c r="L42">
        <f t="shared" si="3"/>
        <v>6103029662</v>
      </c>
    </row>
    <row r="43" spans="1:12" hidden="1" x14ac:dyDescent="0.3">
      <c r="A43">
        <v>6102079015</v>
      </c>
      <c r="B43" t="str">
        <f t="shared" si="0"/>
        <v>Yes</v>
      </c>
      <c r="D43">
        <v>6103055392</v>
      </c>
      <c r="E43" t="str">
        <f t="shared" si="1"/>
        <v>Yes</v>
      </c>
      <c r="G43" s="4">
        <v>6103055643</v>
      </c>
      <c r="H43" t="str">
        <f t="shared" si="2"/>
        <v>Yes</v>
      </c>
      <c r="K43" s="5">
        <v>6103029663</v>
      </c>
      <c r="L43">
        <f t="shared" si="3"/>
        <v>6103029663</v>
      </c>
    </row>
    <row r="44" spans="1:12" hidden="1" x14ac:dyDescent="0.3">
      <c r="A44">
        <v>6102241120</v>
      </c>
      <c r="B44" t="str">
        <f t="shared" si="0"/>
        <v>Yes</v>
      </c>
      <c r="D44">
        <v>6103055643</v>
      </c>
      <c r="E44" t="str">
        <f t="shared" si="1"/>
        <v>Yes</v>
      </c>
      <c r="G44" s="3">
        <v>6103056620</v>
      </c>
      <c r="H44" t="str">
        <f t="shared" si="2"/>
        <v>Yes</v>
      </c>
      <c r="K44" s="5">
        <v>6103031269</v>
      </c>
      <c r="L44">
        <f t="shared" si="3"/>
        <v>6103031269</v>
      </c>
    </row>
    <row r="45" spans="1:12" hidden="1" x14ac:dyDescent="0.3">
      <c r="A45">
        <v>6102284820</v>
      </c>
      <c r="B45" t="str">
        <f t="shared" si="0"/>
        <v>Yes</v>
      </c>
      <c r="D45">
        <v>6103056620</v>
      </c>
      <c r="E45" t="str">
        <f t="shared" si="1"/>
        <v>Yes</v>
      </c>
      <c r="G45" s="4">
        <v>6103056621</v>
      </c>
      <c r="H45" t="str">
        <f t="shared" si="2"/>
        <v>Yes</v>
      </c>
      <c r="K45" s="5">
        <v>6103031796</v>
      </c>
      <c r="L45">
        <f t="shared" si="3"/>
        <v>6103031796</v>
      </c>
    </row>
    <row r="46" spans="1:12" x14ac:dyDescent="0.3">
      <c r="A46">
        <v>6102507141</v>
      </c>
      <c r="B46" t="str">
        <f t="shared" si="0"/>
        <v>Yes</v>
      </c>
      <c r="D46">
        <v>6103056621</v>
      </c>
      <c r="E46" t="str">
        <f t="shared" si="1"/>
        <v>Yes</v>
      </c>
      <c r="G46" s="3">
        <v>6103056622</v>
      </c>
      <c r="H46" t="str">
        <f t="shared" si="2"/>
        <v>Yes</v>
      </c>
      <c r="K46" s="5">
        <v>6103054578</v>
      </c>
      <c r="L46" t="e">
        <f t="shared" si="3"/>
        <v>#N/A</v>
      </c>
    </row>
    <row r="47" spans="1:12" hidden="1" x14ac:dyDescent="0.3">
      <c r="A47">
        <v>6102741362</v>
      </c>
      <c r="B47" t="str">
        <f t="shared" si="0"/>
        <v>Yes</v>
      </c>
      <c r="D47">
        <v>6103056622</v>
      </c>
      <c r="E47" t="str">
        <f t="shared" si="1"/>
        <v>Yes</v>
      </c>
      <c r="G47" s="4">
        <v>6103056625</v>
      </c>
      <c r="H47" t="str">
        <f t="shared" si="2"/>
        <v>Yes</v>
      </c>
      <c r="K47" s="5">
        <v>6103054611</v>
      </c>
      <c r="L47">
        <f t="shared" si="3"/>
        <v>6103054611</v>
      </c>
    </row>
    <row r="48" spans="1:12" hidden="1" x14ac:dyDescent="0.3">
      <c r="A48">
        <v>6103010081</v>
      </c>
      <c r="B48" t="str">
        <f t="shared" si="0"/>
        <v>Yes</v>
      </c>
      <c r="D48">
        <v>6103056625</v>
      </c>
      <c r="E48" t="str">
        <f t="shared" si="1"/>
        <v>Yes</v>
      </c>
      <c r="G48" s="3">
        <v>6103063019</v>
      </c>
      <c r="H48" t="str">
        <f t="shared" si="2"/>
        <v>Yes</v>
      </c>
      <c r="K48" s="5">
        <v>6103055142</v>
      </c>
      <c r="L48">
        <f t="shared" si="3"/>
        <v>6103055142</v>
      </c>
    </row>
    <row r="49" spans="1:12" hidden="1" x14ac:dyDescent="0.3">
      <c r="A49">
        <v>6103011168</v>
      </c>
      <c r="B49" t="str">
        <f t="shared" si="0"/>
        <v>Yes</v>
      </c>
      <c r="D49">
        <v>6103063019</v>
      </c>
      <c r="E49" t="str">
        <f t="shared" si="1"/>
        <v>Yes</v>
      </c>
      <c r="G49" s="4">
        <v>6103063020</v>
      </c>
      <c r="H49" t="str">
        <f t="shared" si="2"/>
        <v>Yes</v>
      </c>
      <c r="K49" s="5">
        <v>6103055392</v>
      </c>
      <c r="L49">
        <f t="shared" si="3"/>
        <v>6103055392</v>
      </c>
    </row>
    <row r="50" spans="1:12" hidden="1" x14ac:dyDescent="0.3">
      <c r="A50">
        <v>6103015873</v>
      </c>
      <c r="B50" t="str">
        <f t="shared" si="0"/>
        <v>Yes</v>
      </c>
      <c r="D50">
        <v>6103063020</v>
      </c>
      <c r="E50" t="str">
        <f t="shared" si="1"/>
        <v>Yes</v>
      </c>
      <c r="G50" s="3">
        <v>6103065120</v>
      </c>
      <c r="H50" t="str">
        <f t="shared" si="2"/>
        <v>Yes</v>
      </c>
      <c r="K50" s="5">
        <v>6103055643</v>
      </c>
      <c r="L50">
        <f t="shared" si="3"/>
        <v>6103055643</v>
      </c>
    </row>
    <row r="51" spans="1:12" hidden="1" x14ac:dyDescent="0.3">
      <c r="A51">
        <v>6103031269</v>
      </c>
      <c r="B51" t="str">
        <f t="shared" si="0"/>
        <v>Yes</v>
      </c>
      <c r="D51">
        <v>6103065120</v>
      </c>
      <c r="E51" t="str">
        <f t="shared" si="1"/>
        <v>Yes</v>
      </c>
      <c r="G51" s="4">
        <v>6103065121</v>
      </c>
      <c r="H51" t="str">
        <f t="shared" si="2"/>
        <v>Yes</v>
      </c>
      <c r="K51" s="5">
        <v>6103056620</v>
      </c>
      <c r="L51">
        <f t="shared" si="3"/>
        <v>6103056620</v>
      </c>
    </row>
    <row r="52" spans="1:12" hidden="1" x14ac:dyDescent="0.3">
      <c r="A52">
        <v>6103055142</v>
      </c>
      <c r="B52" t="str">
        <f t="shared" si="0"/>
        <v>Yes</v>
      </c>
      <c r="D52">
        <v>6103065121</v>
      </c>
      <c r="E52" t="str">
        <f t="shared" si="1"/>
        <v>Yes</v>
      </c>
      <c r="G52" s="3">
        <v>6103065471</v>
      </c>
      <c r="H52" t="str">
        <f t="shared" si="2"/>
        <v>Yes</v>
      </c>
      <c r="K52" s="5">
        <v>6103056621</v>
      </c>
      <c r="L52">
        <f t="shared" si="3"/>
        <v>6103056621</v>
      </c>
    </row>
    <row r="53" spans="1:12" hidden="1" x14ac:dyDescent="0.3">
      <c r="A53">
        <v>6103055392</v>
      </c>
      <c r="B53" t="str">
        <f t="shared" si="0"/>
        <v>Yes</v>
      </c>
      <c r="D53">
        <v>6103065471</v>
      </c>
      <c r="E53" t="str">
        <f t="shared" si="1"/>
        <v>Yes</v>
      </c>
      <c r="G53" s="4">
        <v>6103066694</v>
      </c>
      <c r="H53" t="str">
        <f t="shared" si="2"/>
        <v>Yes</v>
      </c>
      <c r="K53" s="5">
        <v>6103056622</v>
      </c>
      <c r="L53">
        <f t="shared" si="3"/>
        <v>6103056622</v>
      </c>
    </row>
    <row r="54" spans="1:12" hidden="1" x14ac:dyDescent="0.3">
      <c r="A54">
        <v>6103055643</v>
      </c>
      <c r="B54" t="str">
        <f t="shared" si="0"/>
        <v>Yes</v>
      </c>
      <c r="D54">
        <v>6103066694</v>
      </c>
      <c r="E54" t="str">
        <f t="shared" si="1"/>
        <v>Yes</v>
      </c>
      <c r="G54" s="3">
        <v>6103067996</v>
      </c>
      <c r="H54" t="str">
        <f t="shared" si="2"/>
        <v>Yes</v>
      </c>
      <c r="K54" s="5">
        <v>6103056625</v>
      </c>
      <c r="L54">
        <f t="shared" si="3"/>
        <v>6103056625</v>
      </c>
    </row>
    <row r="55" spans="1:12" hidden="1" x14ac:dyDescent="0.3">
      <c r="A55">
        <v>6103056620</v>
      </c>
      <c r="B55" t="str">
        <f t="shared" si="0"/>
        <v>Yes</v>
      </c>
      <c r="D55">
        <v>6103067996</v>
      </c>
      <c r="E55" t="str">
        <f t="shared" si="1"/>
        <v>Yes</v>
      </c>
      <c r="G55" s="4">
        <v>6103068525</v>
      </c>
      <c r="H55" t="str">
        <f t="shared" si="2"/>
        <v>Yes</v>
      </c>
      <c r="K55" s="5">
        <v>6103063019</v>
      </c>
      <c r="L55">
        <f t="shared" si="3"/>
        <v>6103063019</v>
      </c>
    </row>
    <row r="56" spans="1:12" hidden="1" x14ac:dyDescent="0.3">
      <c r="A56">
        <v>6103056621</v>
      </c>
      <c r="B56" t="str">
        <f t="shared" si="0"/>
        <v>Yes</v>
      </c>
      <c r="D56">
        <v>6103068525</v>
      </c>
      <c r="E56" t="str">
        <f t="shared" si="1"/>
        <v>Yes</v>
      </c>
      <c r="G56" s="3">
        <v>6203949247</v>
      </c>
      <c r="H56" t="str">
        <f t="shared" si="2"/>
        <v>Yes</v>
      </c>
      <c r="K56" s="5">
        <v>6103063020</v>
      </c>
      <c r="L56">
        <f t="shared" si="3"/>
        <v>6103063020</v>
      </c>
    </row>
    <row r="57" spans="1:12" hidden="1" x14ac:dyDescent="0.3">
      <c r="A57">
        <v>6103056622</v>
      </c>
      <c r="B57" t="str">
        <f t="shared" si="0"/>
        <v>Yes</v>
      </c>
      <c r="D57">
        <v>6203949247</v>
      </c>
      <c r="E57" t="str">
        <f t="shared" si="1"/>
        <v>Yes</v>
      </c>
      <c r="G57" s="4" t="s">
        <v>39</v>
      </c>
      <c r="H57" t="str">
        <f t="shared" si="2"/>
        <v>Yes</v>
      </c>
      <c r="K57" s="5">
        <v>6103065120</v>
      </c>
      <c r="L57">
        <f t="shared" si="3"/>
        <v>6103065120</v>
      </c>
    </row>
    <row r="58" spans="1:12" hidden="1" x14ac:dyDescent="0.3">
      <c r="A58">
        <v>6203949247</v>
      </c>
      <c r="B58" t="str">
        <f t="shared" si="0"/>
        <v>Yes</v>
      </c>
      <c r="D58" t="s">
        <v>39</v>
      </c>
      <c r="E58" t="str">
        <f t="shared" si="1"/>
        <v>Yes</v>
      </c>
      <c r="G58" s="3" t="s">
        <v>139</v>
      </c>
      <c r="H58" t="str">
        <f t="shared" si="2"/>
        <v>Yes</v>
      </c>
      <c r="K58" s="5">
        <v>6103065121</v>
      </c>
      <c r="L58">
        <f t="shared" si="3"/>
        <v>6103065121</v>
      </c>
    </row>
    <row r="59" spans="1:12" hidden="1" x14ac:dyDescent="0.3">
      <c r="A59" t="s">
        <v>139</v>
      </c>
      <c r="B59" t="str">
        <f t="shared" si="0"/>
        <v>Yes</v>
      </c>
      <c r="D59" t="s">
        <v>139</v>
      </c>
      <c r="E59" t="str">
        <f t="shared" si="1"/>
        <v>Yes</v>
      </c>
      <c r="G59" s="4" t="s">
        <v>162</v>
      </c>
      <c r="H59" t="str">
        <f t="shared" si="2"/>
        <v>Yes</v>
      </c>
      <c r="K59" s="5">
        <v>6103065471</v>
      </c>
      <c r="L59">
        <f t="shared" si="3"/>
        <v>6103065471</v>
      </c>
    </row>
    <row r="60" spans="1:12" hidden="1" x14ac:dyDescent="0.3">
      <c r="A60" t="s">
        <v>142</v>
      </c>
      <c r="B60" t="str">
        <f t="shared" si="0"/>
        <v>No</v>
      </c>
      <c r="D60" t="s">
        <v>162</v>
      </c>
      <c r="E60" t="str">
        <f t="shared" si="1"/>
        <v>Yes</v>
      </c>
      <c r="G60" s="3" t="s">
        <v>30</v>
      </c>
      <c r="H60" t="str">
        <f t="shared" si="2"/>
        <v>Yes</v>
      </c>
      <c r="K60" s="5">
        <v>6103066694</v>
      </c>
      <c r="L60">
        <f t="shared" si="3"/>
        <v>6103066694</v>
      </c>
    </row>
    <row r="61" spans="1:12" hidden="1" x14ac:dyDescent="0.3">
      <c r="A61">
        <v>6103002422</v>
      </c>
      <c r="B61" t="str">
        <f t="shared" si="0"/>
        <v>Yes</v>
      </c>
      <c r="D61" t="s">
        <v>30</v>
      </c>
      <c r="E61" t="str">
        <f t="shared" si="1"/>
        <v>Yes</v>
      </c>
      <c r="G61" s="4" t="s">
        <v>51</v>
      </c>
      <c r="H61" t="str">
        <f t="shared" si="2"/>
        <v>Yes</v>
      </c>
      <c r="K61" s="5">
        <v>6103067996</v>
      </c>
      <c r="L61">
        <f t="shared" si="3"/>
        <v>6103067996</v>
      </c>
    </row>
    <row r="62" spans="1:12" hidden="1" x14ac:dyDescent="0.3">
      <c r="A62">
        <v>6102038376</v>
      </c>
      <c r="B62" t="str">
        <f t="shared" si="0"/>
        <v>Yes</v>
      </c>
      <c r="D62" t="s">
        <v>51</v>
      </c>
      <c r="E62" t="str">
        <f t="shared" si="1"/>
        <v>Yes</v>
      </c>
      <c r="G62" s="3" t="s">
        <v>159</v>
      </c>
      <c r="H62" t="str">
        <f t="shared" si="2"/>
        <v>Yes</v>
      </c>
      <c r="K62" s="5">
        <v>6103068525</v>
      </c>
      <c r="L62">
        <f t="shared" si="3"/>
        <v>6103068525</v>
      </c>
    </row>
    <row r="63" spans="1:12" x14ac:dyDescent="0.3">
      <c r="A63" t="s">
        <v>151</v>
      </c>
      <c r="B63" t="str">
        <f t="shared" si="0"/>
        <v>Yes</v>
      </c>
      <c r="D63" t="s">
        <v>159</v>
      </c>
      <c r="E63" t="str">
        <f t="shared" si="1"/>
        <v>Yes</v>
      </c>
      <c r="G63" s="4" t="s">
        <v>17</v>
      </c>
      <c r="H63" t="str">
        <f t="shared" si="2"/>
        <v>Yes</v>
      </c>
      <c r="K63" s="5">
        <v>6103077259</v>
      </c>
      <c r="L63" t="e">
        <f t="shared" si="3"/>
        <v>#N/A</v>
      </c>
    </row>
    <row r="64" spans="1:12" x14ac:dyDescent="0.3">
      <c r="A64">
        <v>6103004482</v>
      </c>
      <c r="B64" t="str">
        <f t="shared" si="0"/>
        <v>Yes</v>
      </c>
      <c r="D64" t="s">
        <v>17</v>
      </c>
      <c r="E64" t="str">
        <f t="shared" si="1"/>
        <v>Yes</v>
      </c>
      <c r="G64" s="3" t="s">
        <v>36</v>
      </c>
      <c r="H64" t="str">
        <f t="shared" si="2"/>
        <v>Yes</v>
      </c>
      <c r="K64" s="5">
        <v>6103086897</v>
      </c>
      <c r="L64" t="e">
        <f t="shared" si="3"/>
        <v>#N/A</v>
      </c>
    </row>
    <row r="65" spans="1:12" x14ac:dyDescent="0.3">
      <c r="A65" t="s">
        <v>159</v>
      </c>
      <c r="B65" t="str">
        <f t="shared" si="0"/>
        <v>Yes</v>
      </c>
      <c r="D65" t="s">
        <v>36</v>
      </c>
      <c r="E65" t="str">
        <f t="shared" si="1"/>
        <v>Yes</v>
      </c>
      <c r="G65" s="4" t="s">
        <v>151</v>
      </c>
      <c r="H65" t="str">
        <f t="shared" si="2"/>
        <v>Yes</v>
      </c>
      <c r="K65" s="5">
        <v>6203397519</v>
      </c>
      <c r="L65" t="e">
        <f t="shared" si="3"/>
        <v>#N/A</v>
      </c>
    </row>
    <row r="66" spans="1:12" x14ac:dyDescent="0.3">
      <c r="A66" t="s">
        <v>162</v>
      </c>
      <c r="B66" t="str">
        <f t="shared" si="0"/>
        <v>Yes</v>
      </c>
      <c r="D66" t="s">
        <v>151</v>
      </c>
      <c r="E66" t="str">
        <f t="shared" si="1"/>
        <v>Yes</v>
      </c>
      <c r="G66" s="3" t="s">
        <v>15</v>
      </c>
      <c r="H66" t="str">
        <f t="shared" si="2"/>
        <v>Yes</v>
      </c>
      <c r="K66" s="5">
        <v>6203397522</v>
      </c>
      <c r="L66" t="e">
        <f t="shared" si="3"/>
        <v>#N/A</v>
      </c>
    </row>
    <row r="67" spans="1:12" x14ac:dyDescent="0.3">
      <c r="A67">
        <v>6102046251</v>
      </c>
      <c r="B67" t="str">
        <f t="shared" ref="B67:B86" si="4">IFERROR(IF(MATCH($A67,$G$2:$G$91,0),"Yes"),"No")</f>
        <v>Yes</v>
      </c>
      <c r="D67" t="s">
        <v>15</v>
      </c>
      <c r="E67" t="str">
        <f t="shared" ref="E67:E91" si="5">IFERROR(IF(MATCH($D67,$A$2:$A$87,0),"Yes"),"No")</f>
        <v>Yes</v>
      </c>
      <c r="G67" s="4" t="s">
        <v>70</v>
      </c>
      <c r="H67" t="str">
        <f t="shared" ref="H67:H89" si="6">IFERROR(IF(MATCH($G67,$A$2:$A$114,0),"Yes"),"No")</f>
        <v>Yes</v>
      </c>
      <c r="K67" s="5">
        <v>6203848319</v>
      </c>
      <c r="L67" t="e">
        <f t="shared" ref="L67:L103" si="7">_xlfn.XLOOKUP(K67,D:D,D:D)</f>
        <v>#N/A</v>
      </c>
    </row>
    <row r="68" spans="1:12" hidden="1" x14ac:dyDescent="0.3">
      <c r="A68">
        <v>6102047562</v>
      </c>
      <c r="B68" t="str">
        <f t="shared" si="4"/>
        <v>Yes</v>
      </c>
      <c r="D68" t="s">
        <v>70</v>
      </c>
      <c r="E68" t="str">
        <f t="shared" si="5"/>
        <v>Yes</v>
      </c>
      <c r="G68" s="3" t="s">
        <v>33</v>
      </c>
      <c r="H68" t="str">
        <f t="shared" si="6"/>
        <v>Yes</v>
      </c>
      <c r="K68" s="5">
        <v>6203949247</v>
      </c>
      <c r="L68">
        <f t="shared" si="7"/>
        <v>6203949247</v>
      </c>
    </row>
    <row r="69" spans="1:12" hidden="1" x14ac:dyDescent="0.3">
      <c r="A69" t="s">
        <v>168</v>
      </c>
      <c r="B69" t="str">
        <f t="shared" si="4"/>
        <v>Yes</v>
      </c>
      <c r="D69" t="s">
        <v>142</v>
      </c>
      <c r="E69" t="str">
        <f t="shared" si="5"/>
        <v>Yes</v>
      </c>
      <c r="G69" s="4" t="s">
        <v>78</v>
      </c>
      <c r="H69" t="str">
        <f t="shared" si="6"/>
        <v>Yes</v>
      </c>
      <c r="K69" s="5" t="s">
        <v>39</v>
      </c>
      <c r="L69" t="str">
        <f t="shared" si="7"/>
        <v>VAAA000057</v>
      </c>
    </row>
    <row r="70" spans="1:12" hidden="1" x14ac:dyDescent="0.3">
      <c r="A70">
        <v>6103054611</v>
      </c>
      <c r="B70" t="str">
        <f t="shared" si="4"/>
        <v>Yes</v>
      </c>
      <c r="D70" t="s">
        <v>33</v>
      </c>
      <c r="E70" t="str">
        <f t="shared" si="5"/>
        <v>Yes</v>
      </c>
      <c r="G70" s="3" t="s">
        <v>81</v>
      </c>
      <c r="H70" t="str">
        <f t="shared" si="6"/>
        <v>Yes</v>
      </c>
      <c r="K70" s="5" t="s">
        <v>139</v>
      </c>
      <c r="L70" t="str">
        <f t="shared" si="7"/>
        <v>VAAA000173</v>
      </c>
    </row>
    <row r="71" spans="1:12" hidden="1" x14ac:dyDescent="0.3">
      <c r="A71">
        <v>6102253330</v>
      </c>
      <c r="B71" t="str">
        <f t="shared" si="4"/>
        <v>Yes</v>
      </c>
      <c r="D71" t="s">
        <v>78</v>
      </c>
      <c r="E71" t="str">
        <f t="shared" si="5"/>
        <v>Yes</v>
      </c>
      <c r="G71" s="4" t="s">
        <v>207</v>
      </c>
      <c r="H71" t="str">
        <f t="shared" si="6"/>
        <v>Yes</v>
      </c>
      <c r="K71" s="5" t="s">
        <v>162</v>
      </c>
      <c r="L71" t="str">
        <f t="shared" si="7"/>
        <v>VAAA000175</v>
      </c>
    </row>
    <row r="72" spans="1:12" hidden="1" x14ac:dyDescent="0.3">
      <c r="A72">
        <v>6103063019</v>
      </c>
      <c r="B72" t="str">
        <f t="shared" si="4"/>
        <v>Yes</v>
      </c>
      <c r="D72" t="s">
        <v>174</v>
      </c>
      <c r="E72" t="str">
        <f t="shared" si="5"/>
        <v>No</v>
      </c>
      <c r="G72" s="3" t="s">
        <v>84</v>
      </c>
      <c r="H72" t="str">
        <f t="shared" si="6"/>
        <v>Yes</v>
      </c>
      <c r="K72" s="5" t="s">
        <v>30</v>
      </c>
      <c r="L72" t="str">
        <f t="shared" si="7"/>
        <v>VAAA000177</v>
      </c>
    </row>
    <row r="73" spans="1:12" hidden="1" x14ac:dyDescent="0.3">
      <c r="A73">
        <v>6103063020</v>
      </c>
      <c r="B73" t="str">
        <f t="shared" si="4"/>
        <v>Yes</v>
      </c>
      <c r="D73" t="s">
        <v>81</v>
      </c>
      <c r="E73" t="str">
        <f t="shared" si="5"/>
        <v>Yes</v>
      </c>
      <c r="G73" s="4" t="s">
        <v>87</v>
      </c>
      <c r="H73" t="str">
        <f t="shared" si="6"/>
        <v>Yes</v>
      </c>
      <c r="K73" s="5" t="s">
        <v>51</v>
      </c>
      <c r="L73" t="str">
        <f t="shared" si="7"/>
        <v>VAAA000178</v>
      </c>
    </row>
    <row r="74" spans="1:12" hidden="1" x14ac:dyDescent="0.3">
      <c r="A74">
        <v>6103065471</v>
      </c>
      <c r="B74" t="str">
        <f t="shared" si="4"/>
        <v>Yes</v>
      </c>
      <c r="D74" s="1" t="s">
        <v>207</v>
      </c>
      <c r="E74" s="1" t="str">
        <f t="shared" si="5"/>
        <v>Yes</v>
      </c>
      <c r="G74" s="3" t="s">
        <v>190</v>
      </c>
      <c r="H74" t="str">
        <f t="shared" si="6"/>
        <v>Yes</v>
      </c>
      <c r="K74" s="5" t="s">
        <v>159</v>
      </c>
      <c r="L74" t="str">
        <f t="shared" si="7"/>
        <v>VAAA000180</v>
      </c>
    </row>
    <row r="75" spans="1:12" hidden="1" x14ac:dyDescent="0.3">
      <c r="A75">
        <v>6103065121</v>
      </c>
      <c r="B75" t="str">
        <f t="shared" si="4"/>
        <v>Yes</v>
      </c>
      <c r="D75" t="s">
        <v>84</v>
      </c>
      <c r="E75" t="str">
        <f t="shared" si="5"/>
        <v>Yes</v>
      </c>
      <c r="G75" s="4" t="s">
        <v>25</v>
      </c>
      <c r="H75" t="str">
        <f t="shared" si="6"/>
        <v>Yes</v>
      </c>
      <c r="K75" s="5" t="s">
        <v>17</v>
      </c>
      <c r="L75" t="str">
        <f t="shared" si="7"/>
        <v>VAAA000181</v>
      </c>
    </row>
    <row r="76" spans="1:12" hidden="1" x14ac:dyDescent="0.3">
      <c r="A76">
        <v>6103065120</v>
      </c>
      <c r="B76" t="str">
        <f t="shared" si="4"/>
        <v>Yes</v>
      </c>
      <c r="D76" t="s">
        <v>87</v>
      </c>
      <c r="E76" t="str">
        <f t="shared" si="5"/>
        <v>Yes</v>
      </c>
      <c r="G76" s="3" t="s">
        <v>45</v>
      </c>
      <c r="H76" t="str">
        <f t="shared" si="6"/>
        <v>Yes</v>
      </c>
      <c r="K76" s="5" t="s">
        <v>36</v>
      </c>
      <c r="L76" t="str">
        <f t="shared" si="7"/>
        <v>VAAA000182</v>
      </c>
    </row>
    <row r="77" spans="1:12" hidden="1" x14ac:dyDescent="0.3">
      <c r="A77">
        <v>6103068525</v>
      </c>
      <c r="B77" t="str">
        <f t="shared" si="4"/>
        <v>Yes</v>
      </c>
      <c r="D77" t="s">
        <v>190</v>
      </c>
      <c r="E77" t="str">
        <f t="shared" si="5"/>
        <v>Yes</v>
      </c>
      <c r="G77" s="4" t="s">
        <v>90</v>
      </c>
      <c r="H77" t="str">
        <f t="shared" si="6"/>
        <v>Yes</v>
      </c>
      <c r="K77" s="5" t="s">
        <v>151</v>
      </c>
      <c r="L77" t="str">
        <f t="shared" si="7"/>
        <v>VAAA000184</v>
      </c>
    </row>
    <row r="78" spans="1:12" hidden="1" x14ac:dyDescent="0.3">
      <c r="A78">
        <v>6103031796</v>
      </c>
      <c r="B78" t="str">
        <f t="shared" si="4"/>
        <v>Yes</v>
      </c>
      <c r="D78" t="s">
        <v>25</v>
      </c>
      <c r="E78" t="str">
        <f t="shared" si="5"/>
        <v>Yes</v>
      </c>
      <c r="G78" s="3" t="s">
        <v>93</v>
      </c>
      <c r="H78" t="str">
        <f t="shared" si="6"/>
        <v>Yes</v>
      </c>
      <c r="K78" s="5" t="s">
        <v>15</v>
      </c>
      <c r="L78" t="str">
        <f t="shared" si="7"/>
        <v>VAAA000185</v>
      </c>
    </row>
    <row r="79" spans="1:12" hidden="1" x14ac:dyDescent="0.3">
      <c r="A79" t="s">
        <v>190</v>
      </c>
      <c r="B79" t="str">
        <f t="shared" si="4"/>
        <v>Yes</v>
      </c>
      <c r="D79" t="s">
        <v>45</v>
      </c>
      <c r="E79" t="str">
        <f t="shared" si="5"/>
        <v>Yes</v>
      </c>
      <c r="G79" s="4" t="s">
        <v>72</v>
      </c>
      <c r="H79" t="str">
        <f t="shared" si="6"/>
        <v>Yes</v>
      </c>
      <c r="K79" s="5" t="s">
        <v>70</v>
      </c>
      <c r="L79" t="str">
        <f t="shared" si="7"/>
        <v>VAAA000237</v>
      </c>
    </row>
    <row r="80" spans="1:12" hidden="1" x14ac:dyDescent="0.3">
      <c r="A80">
        <v>6102005454</v>
      </c>
      <c r="B80" t="str">
        <f t="shared" si="4"/>
        <v>Yes</v>
      </c>
      <c r="D80" t="s">
        <v>90</v>
      </c>
      <c r="E80" t="str">
        <f t="shared" si="5"/>
        <v>Yes</v>
      </c>
      <c r="G80" s="3" t="s">
        <v>42</v>
      </c>
      <c r="H80" t="str">
        <f t="shared" si="6"/>
        <v>Yes</v>
      </c>
      <c r="K80" s="5" t="s">
        <v>142</v>
      </c>
      <c r="L80" t="str">
        <f t="shared" si="7"/>
        <v>VAAA000379</v>
      </c>
    </row>
    <row r="81" spans="1:12" hidden="1" x14ac:dyDescent="0.3">
      <c r="A81">
        <v>6102005592</v>
      </c>
      <c r="B81" t="str">
        <f t="shared" si="4"/>
        <v>Yes</v>
      </c>
      <c r="D81" t="s">
        <v>93</v>
      </c>
      <c r="E81" t="str">
        <f t="shared" si="5"/>
        <v>Yes</v>
      </c>
      <c r="G81" s="4" t="s">
        <v>64</v>
      </c>
      <c r="H81" t="str">
        <f t="shared" si="6"/>
        <v>Yes</v>
      </c>
      <c r="K81" s="5" t="s">
        <v>33</v>
      </c>
      <c r="L81" t="str">
        <f t="shared" si="7"/>
        <v>VAAA000450</v>
      </c>
    </row>
    <row r="82" spans="1:12" hidden="1" x14ac:dyDescent="0.3">
      <c r="A82" t="s">
        <v>196</v>
      </c>
      <c r="B82" t="str">
        <f t="shared" si="4"/>
        <v>Yes</v>
      </c>
      <c r="D82" t="s">
        <v>72</v>
      </c>
      <c r="E82" t="str">
        <f t="shared" si="5"/>
        <v>Yes</v>
      </c>
      <c r="G82" s="3" t="s">
        <v>168</v>
      </c>
      <c r="H82" t="str">
        <f t="shared" si="6"/>
        <v>Yes</v>
      </c>
      <c r="K82" s="5" t="s">
        <v>78</v>
      </c>
      <c r="L82" t="str">
        <f t="shared" si="7"/>
        <v>VAAA000507</v>
      </c>
    </row>
    <row r="83" spans="1:12" x14ac:dyDescent="0.3">
      <c r="A83">
        <v>6102823324</v>
      </c>
      <c r="B83" t="str">
        <f t="shared" si="4"/>
        <v>Yes</v>
      </c>
      <c r="D83" t="s">
        <v>42</v>
      </c>
      <c r="E83" t="str">
        <f t="shared" si="5"/>
        <v>Yes</v>
      </c>
      <c r="G83" s="4" t="s">
        <v>96</v>
      </c>
      <c r="H83" t="str">
        <f t="shared" si="6"/>
        <v>Yes</v>
      </c>
      <c r="K83" s="5" t="s">
        <v>228</v>
      </c>
      <c r="L83" t="e">
        <f t="shared" si="7"/>
        <v>#N/A</v>
      </c>
    </row>
    <row r="84" spans="1:12" hidden="1" x14ac:dyDescent="0.3">
      <c r="A84">
        <v>6103067996</v>
      </c>
      <c r="B84" t="str">
        <f t="shared" si="4"/>
        <v>Yes</v>
      </c>
      <c r="D84" t="s">
        <v>64</v>
      </c>
      <c r="E84" t="str">
        <f t="shared" si="5"/>
        <v>Yes</v>
      </c>
      <c r="G84" s="3" t="s">
        <v>101</v>
      </c>
      <c r="H84" t="str">
        <f t="shared" si="6"/>
        <v>Yes</v>
      </c>
      <c r="K84" s="5" t="s">
        <v>81</v>
      </c>
      <c r="L84" t="str">
        <f t="shared" si="7"/>
        <v>VAAA001188</v>
      </c>
    </row>
    <row r="85" spans="1:12" hidden="1" x14ac:dyDescent="0.3">
      <c r="A85">
        <v>6103066694</v>
      </c>
      <c r="B85" t="str">
        <f t="shared" si="4"/>
        <v>Yes</v>
      </c>
      <c r="D85" t="s">
        <v>168</v>
      </c>
      <c r="E85" t="str">
        <f t="shared" si="5"/>
        <v>Yes</v>
      </c>
      <c r="G85" s="4" t="s">
        <v>75</v>
      </c>
      <c r="H85" t="str">
        <f t="shared" si="6"/>
        <v>Yes</v>
      </c>
      <c r="K85" s="5" t="s">
        <v>207</v>
      </c>
      <c r="L85" t="str">
        <f t="shared" si="7"/>
        <v>VAAA001259</v>
      </c>
    </row>
    <row r="86" spans="1:12" hidden="1" x14ac:dyDescent="0.3">
      <c r="A86">
        <v>6103056625</v>
      </c>
      <c r="B86" t="str">
        <f t="shared" si="4"/>
        <v>Yes</v>
      </c>
      <c r="D86" t="s">
        <v>96</v>
      </c>
      <c r="E86" t="str">
        <f t="shared" si="5"/>
        <v>Yes</v>
      </c>
      <c r="G86" s="3" t="s">
        <v>56</v>
      </c>
      <c r="H86" t="str">
        <f t="shared" si="6"/>
        <v>Yes</v>
      </c>
      <c r="K86" s="5" t="s">
        <v>84</v>
      </c>
      <c r="L86" t="str">
        <f t="shared" si="7"/>
        <v>VAAA001271</v>
      </c>
    </row>
    <row r="87" spans="1:12" hidden="1" x14ac:dyDescent="0.3">
      <c r="A87" t="s">
        <v>207</v>
      </c>
      <c r="B87" t="str">
        <f>IFERROR(IF(MATCH($A87,$G$2:$G$91,0),"Yes"),"No")</f>
        <v>Yes</v>
      </c>
      <c r="D87" t="s">
        <v>101</v>
      </c>
      <c r="E87" t="str">
        <f t="shared" si="5"/>
        <v>Yes</v>
      </c>
      <c r="G87" s="4" t="s">
        <v>196</v>
      </c>
      <c r="H87" t="str">
        <f t="shared" si="6"/>
        <v>Yes</v>
      </c>
      <c r="K87" s="5" t="s">
        <v>87</v>
      </c>
      <c r="L87" t="str">
        <f t="shared" si="7"/>
        <v>VAAA001329</v>
      </c>
    </row>
    <row r="88" spans="1:12" hidden="1" x14ac:dyDescent="0.3">
      <c r="A88" s="2" t="s">
        <v>174</v>
      </c>
      <c r="B88" t="str">
        <f t="shared" ref="B88:B91" si="8">IFERROR(IF(MATCH($A88,$G$2:$G$91,0),"Yes"),"No")</f>
        <v>No</v>
      </c>
      <c r="D88" t="s">
        <v>75</v>
      </c>
      <c r="E88" t="str">
        <f t="shared" si="5"/>
        <v>Yes</v>
      </c>
      <c r="G88" s="3" t="s">
        <v>59</v>
      </c>
      <c r="H88" t="str">
        <f t="shared" si="6"/>
        <v>Yes</v>
      </c>
      <c r="K88" s="5" t="s">
        <v>190</v>
      </c>
      <c r="L88" t="str">
        <f t="shared" si="7"/>
        <v>VAAA001356</v>
      </c>
    </row>
    <row r="89" spans="1:12" hidden="1" x14ac:dyDescent="0.3">
      <c r="A89" s="2">
        <v>6103077259</v>
      </c>
      <c r="B89" t="str">
        <f t="shared" si="8"/>
        <v>Yes</v>
      </c>
      <c r="D89" t="s">
        <v>56</v>
      </c>
      <c r="E89" t="str">
        <f t="shared" si="5"/>
        <v>Yes</v>
      </c>
      <c r="G89" s="4">
        <v>6103077259</v>
      </c>
      <c r="H89" t="str">
        <f t="shared" si="6"/>
        <v>Yes</v>
      </c>
      <c r="K89" s="5" t="s">
        <v>25</v>
      </c>
      <c r="L89" t="str">
        <f t="shared" si="7"/>
        <v>VAAA001472</v>
      </c>
    </row>
    <row r="90" spans="1:12" hidden="1" x14ac:dyDescent="0.3">
      <c r="A90" s="2">
        <v>6102126219</v>
      </c>
      <c r="B90" t="str">
        <f t="shared" si="8"/>
        <v>Yes</v>
      </c>
      <c r="D90" t="s">
        <v>196</v>
      </c>
      <c r="E90" t="str">
        <f t="shared" si="5"/>
        <v>Yes</v>
      </c>
      <c r="K90" s="5" t="s">
        <v>45</v>
      </c>
      <c r="L90" t="str">
        <f t="shared" si="7"/>
        <v>VAAA001492</v>
      </c>
    </row>
    <row r="91" spans="1:12" hidden="1" x14ac:dyDescent="0.3">
      <c r="A91" s="2">
        <v>6102159807</v>
      </c>
      <c r="B91" t="str">
        <f t="shared" si="8"/>
        <v>Yes</v>
      </c>
      <c r="D91" t="s">
        <v>59</v>
      </c>
      <c r="E91" t="str">
        <f t="shared" si="5"/>
        <v>Yes</v>
      </c>
      <c r="K91" s="5" t="s">
        <v>90</v>
      </c>
      <c r="L91" t="str">
        <f t="shared" si="7"/>
        <v>VAAA002242</v>
      </c>
    </row>
    <row r="92" spans="1:12" hidden="1" x14ac:dyDescent="0.3">
      <c r="K92" s="5" t="s">
        <v>93</v>
      </c>
      <c r="L92" t="str">
        <f t="shared" si="7"/>
        <v>VAAA002408</v>
      </c>
    </row>
    <row r="93" spans="1:12" hidden="1" x14ac:dyDescent="0.3">
      <c r="K93" s="5" t="s">
        <v>72</v>
      </c>
      <c r="L93" t="str">
        <f t="shared" si="7"/>
        <v>VAAA003100</v>
      </c>
    </row>
    <row r="94" spans="1:12" hidden="1" x14ac:dyDescent="0.3">
      <c r="K94" s="5" t="s">
        <v>42</v>
      </c>
      <c r="L94" t="str">
        <f t="shared" si="7"/>
        <v>VAAA003176</v>
      </c>
    </row>
    <row r="95" spans="1:12" hidden="1" x14ac:dyDescent="0.3">
      <c r="K95" s="5" t="s">
        <v>64</v>
      </c>
      <c r="L95" t="str">
        <f t="shared" si="7"/>
        <v>VAAA003194</v>
      </c>
    </row>
    <row r="96" spans="1:12" hidden="1" x14ac:dyDescent="0.3">
      <c r="K96" s="5" t="s">
        <v>168</v>
      </c>
      <c r="L96" t="str">
        <f t="shared" si="7"/>
        <v>VAAA003197</v>
      </c>
    </row>
    <row r="97" spans="11:12" hidden="1" x14ac:dyDescent="0.3">
      <c r="K97" s="5" t="s">
        <v>96</v>
      </c>
      <c r="L97" t="str">
        <f t="shared" si="7"/>
        <v>VAAA003225</v>
      </c>
    </row>
    <row r="98" spans="11:12" hidden="1" x14ac:dyDescent="0.3">
      <c r="K98" s="5" t="s">
        <v>101</v>
      </c>
      <c r="L98" t="str">
        <f t="shared" si="7"/>
        <v>VAAA003429</v>
      </c>
    </row>
    <row r="99" spans="11:12" x14ac:dyDescent="0.3">
      <c r="K99" s="5" t="s">
        <v>229</v>
      </c>
      <c r="L99" t="e">
        <f t="shared" si="7"/>
        <v>#N/A</v>
      </c>
    </row>
    <row r="100" spans="11:12" hidden="1" x14ac:dyDescent="0.3">
      <c r="K100" s="5" t="s">
        <v>75</v>
      </c>
      <c r="L100" t="str">
        <f t="shared" si="7"/>
        <v>VCCCAE0035</v>
      </c>
    </row>
    <row r="101" spans="11:12" hidden="1" x14ac:dyDescent="0.3">
      <c r="K101" s="5" t="s">
        <v>56</v>
      </c>
      <c r="L101" t="str">
        <f t="shared" si="7"/>
        <v>VCCCBC0096</v>
      </c>
    </row>
    <row r="102" spans="11:12" hidden="1" x14ac:dyDescent="0.3">
      <c r="K102" s="5" t="s">
        <v>196</v>
      </c>
      <c r="L102" t="str">
        <f t="shared" si="7"/>
        <v>VCCCSC0045</v>
      </c>
    </row>
    <row r="103" spans="11:12" hidden="1" x14ac:dyDescent="0.3">
      <c r="K103" s="5" t="s">
        <v>59</v>
      </c>
      <c r="L103" t="str">
        <f t="shared" si="7"/>
        <v>VCCCSD0058</v>
      </c>
    </row>
  </sheetData>
  <autoFilter ref="K1:L103" xr:uid="{70C72948-8979-41B5-9D50-68D5D4DAE826}">
    <filterColumn colId="1">
      <filters>
        <filter val="#N/A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63B56598E200499EBE81AEAB4BE913" ma:contentTypeVersion="14" ma:contentTypeDescription="Create a new document." ma:contentTypeScope="" ma:versionID="c1f160983635a45f047c8b0fbc08ad00">
  <xsd:schema xmlns:xsd="http://www.w3.org/2001/XMLSchema" xmlns:xs="http://www.w3.org/2001/XMLSchema" xmlns:p="http://schemas.microsoft.com/office/2006/metadata/properties" xmlns:ns2="3ad1a35c-58c1-477a-a6a3-040423e5b5df" xmlns:ns3="42cca3b2-4bcc-4127-9d78-682c33a3f5c5" targetNamespace="http://schemas.microsoft.com/office/2006/metadata/properties" ma:root="true" ma:fieldsID="d73ed7fd2ae3a5e7e2060b9c4cede171" ns2:_="" ns3:_="">
    <xsd:import namespace="3ad1a35c-58c1-477a-a6a3-040423e5b5df"/>
    <xsd:import namespace="42cca3b2-4bcc-4127-9d78-682c33a3f5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d1a35c-58c1-477a-a6a3-040423e5b5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a3b2-4bcc-4127-9d78-682c33a3f5c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f110e2c-cea6-4ba3-b6c7-fa0dd7157a2f}" ma:internalName="TaxCatchAll" ma:showField="CatchAllData" ma:web="42cca3b2-4bcc-4127-9d78-682c33a3f5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d1a35c-58c1-477a-a6a3-040423e5b5df">
      <Terms xmlns="http://schemas.microsoft.com/office/infopath/2007/PartnerControls"/>
    </lcf76f155ced4ddcb4097134ff3c332f>
    <TaxCatchAll xmlns="42cca3b2-4bcc-4127-9d78-682c33a3f5c5" xsi:nil="true"/>
  </documentManagement>
</p:properties>
</file>

<file path=customXml/itemProps1.xml><?xml version="1.0" encoding="utf-8"?>
<ds:datastoreItem xmlns:ds="http://schemas.openxmlformats.org/officeDocument/2006/customXml" ds:itemID="{AA80E2AF-829E-45CE-8D5E-10941F9F9C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d1a35c-58c1-477a-a6a3-040423e5b5df"/>
    <ds:schemaRef ds:uri="42cca3b2-4bcc-4127-9d78-682c33a3f5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1EED119-3FE5-43FA-BE2C-DDEB66C231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495AFE-1176-42CD-9FAF-8317EF79C634}">
  <ds:schemaRefs>
    <ds:schemaRef ds:uri="http://schemas.microsoft.com/office/2006/metadata/properties"/>
    <ds:schemaRef ds:uri="http://schemas.microsoft.com/office/infopath/2007/PartnerControls"/>
    <ds:schemaRef ds:uri="3ad1a35c-58c1-477a-a6a3-040423e5b5df"/>
    <ds:schemaRef ds:uri="42cca3b2-4bcc-4127-9d78-682c33a3f5c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</vt:lpstr>
      <vt:lpstr>Compare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Erick Chen</cp:lastModifiedBy>
  <cp:revision/>
  <dcterms:created xsi:type="dcterms:W3CDTF">2023-08-22T03:29:13Z</dcterms:created>
  <dcterms:modified xsi:type="dcterms:W3CDTF">2026-03-24T04:45:13Z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0x010100E063B56598E200499EBE81AEAB4BE913</vt:lpwstr>
  </property>
  <property fmtid="{D5CDD505-2E9C-101B-9397-08002B2CF9AE}" pid="3" name="MediaServiceImageTags">
    <vt:lpwstr/>
  </property>
</Properties>
</file>